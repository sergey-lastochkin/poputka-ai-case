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ccfc0290244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ценарии" sheetId="1" r:id="R64b624b40c094e29"/>
    <x:sheet xmlns:r="http://schemas.openxmlformats.org/officeDocument/2006/relationships" name="Допущения" sheetId="2" r:id="R64caf62118cf44af"/>
    <x:sheet xmlns:r="http://schemas.openxmlformats.org/officeDocument/2006/relationships" name="Юнит-экономика" sheetId="3" r:id="R399c378fe41a4fad"/>
    <x:sheet xmlns:r="http://schemas.openxmlformats.org/officeDocument/2006/relationships" name="Фин модель (12 мес)" sheetId="4" r:id="R8d75fa4a7cf0422d"/>
    <x:sheet xmlns:r="http://schemas.openxmlformats.org/officeDocument/2006/relationships" name="Бюджет 500к" sheetId="5" r:id="R1993a23f67824c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164" formatCode="0.0%"/>
    <x:numFmt numFmtId="165" formatCode="0.0"/>
    <x:numFmt numFmtId="200" formatCode="#,##0;(#,##0);&quot;—&quot;"/>
    <x:numFmt numFmtId="201" formatCode="&quot;М&quot;0"/>
    <x:numFmt numFmtId="202" formatCode="0%"/>
    <x:numFmt numFmtId="203" formatCode="#,##0.0"/>
    <x:numFmt numFmtId="204" formatCode="0"/>
    <x:numFmt numFmtId="205" formatCode="#,##0.00;(#,##0.00);&quot;—&quot;"/>
    <x:numFmt numFmtId="206" formatCode="0.00"/>
    <x:numFmt numFmtId="207" formatCode="#,##0"/>
  </x:numFmts>
  <x:fonts count="13">
    <x:font>
      <x:sz val="11"/>
      <x:color theme="1"/>
      <x:name val="Calibri"/>
      <x:family val="2"/>
      <x:scheme val="minor"/>
    </x:font>
    <x:font>
      <x:b/>
      <x:sz val="14"/>
      <x:name val="Times New Roman"/>
    </x:font>
    <x:font>
      <x:b/>
      <x:name val="Times New Roman"/>
    </x:font>
    <x:font>
      <x:sz val="11"/>
      <x:name val="Times New Roman"/>
    </x:font>
    <x:font>
      <x:b/>
      <x:sz val="11"/>
      <x:name val="Times New Roman"/>
    </x:font>
    <x:font>
      <x:name val="Times New Roman"/>
    </x:font>
    <x:font>
      <x:b/>
      <x:sz val="11"/>
      <x:name val="Arial"/>
    </x:font>
    <x:font>
      <x:sz val="11"/>
      <x:name val="Arial"/>
    </x:font>
    <x:font>
      <x:sz val="11"/>
      <x:color rgb="FF0000FF"/>
      <x:name val="Calibri"/>
      <x:family val="2"/>
      <x:scheme val="minor"/>
    </x:font>
    <x:font>
      <x:sz val="11"/>
      <x:color rgb="FF000000"/>
      <x:name val="Arial"/>
    </x:font>
    <x:font>
      <x:sz val="10"/>
      <x:color theme="1"/>
      <x:name val="Calibri"/>
      <x:family val="2"/>
      <x:scheme val="minor"/>
    </x:font>
    <x:font>
      <x:b/>
      <x:sz val="15"/>
      <x:name val="Arial"/>
    </x:font>
    <x:font>
      <x:sz val="11"/>
      <x:color rgb="FF008000"/>
      <x:name val="Calibri"/>
      <x:family val="2"/>
      <x:scheme val="minor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2EFDA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8">
    <x:xf numFmtId="0" fontId="0" fillId="0" borderId="0" xfId="0"/>
    <x:xf numFmtId="0" fontId="1" fillId="0" borderId="0" xfId="0"/>
    <x:xf numFmtId="0" fontId="3" fillId="0" borderId="0" xfId="0"/>
    <x:xf numFmtId="0" fontId="3" fillId="2" borderId="0" xfId="0"/>
    <x:xf numFmtId="3" fontId="3" fillId="2" borderId="0" xfId="0"/>
    <x:xf numFmtId="3" fontId="4" fillId="3" borderId="0" xfId="0"/>
    <x:xf numFmtId="9" fontId="3" fillId="2" borderId="0" xfId="0"/>
    <x:xf numFmtId="9" fontId="4" fillId="3" borderId="0" xfId="0"/>
    <x:xf numFmtId="164" fontId="3" fillId="2" borderId="0" xfId="0"/>
    <x:xf numFmtId="164" fontId="4" fillId="3" borderId="0" xfId="0"/>
    <x:xf numFmtId="165" fontId="3" fillId="2" borderId="0" xfId="0"/>
    <x:xf numFmtId="165" fontId="4" fillId="3" borderId="0" xfId="0"/>
    <x:xf numFmtId="3" fontId="3" fillId="0" borderId="0" xfId="0"/>
    <x:xf numFmtId="0" fontId="4" fillId="0" borderId="0" xfId="0"/>
    <x:xf numFmtId="165" fontId="3" fillId="0" borderId="0" xfId="0"/>
    <x:xf numFmtId="0" fontId="4" fillId="4" borderId="0" xfId="0"/>
    <x:xf numFmtId="3" fontId="4" fillId="0" borderId="0" xfId="0"/>
    <x:xf numFmtId="0" fontId="4" fillId="3" borderId="0" xfId="0"/>
    <x:xf numFmtId="3" fontId="3" fillId="3" borderId="0" xfId="0"/>
    <x:xf numFmtId="0" fontId="5" fillId="0" borderId="0" xfId="0"/>
    <x:xf numFmtId="0" fontId="2" fillId="4" borderId="0" xfId="0"/>
    <x:xf numFmtId="0" fontId="2" fillId="0" borderId="0" xfId="0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2" borderId="0" xfId="0" applyNumberFormat="1" applyFont="1" applyFill="1" applyBorder="1"/>
    <x:xf numFmtId="3" fontId="7" fillId="2" borderId="0" xfId="0" applyNumberFormat="1" applyFont="1" applyFill="1" applyBorder="1"/>
    <x:xf numFmtId="3" fontId="6" fillId="3" borderId="0" xfId="0" applyNumberFormat="1" applyFont="1" applyFill="1" applyBorder="1"/>
    <x:xf numFmtId="9" fontId="7" fillId="2" borderId="0" xfId="0" applyNumberFormat="1" applyFont="1" applyFill="1" applyBorder="1"/>
    <x:xf numFmtId="9" fontId="6" fillId="3" borderId="0" xfId="0" applyNumberFormat="1" applyFont="1" applyFill="1" applyBorder="1"/>
    <x:xf numFmtId="164" fontId="7" fillId="2" borderId="0" xfId="0" applyNumberFormat="1" applyFont="1" applyFill="1" applyBorder="1"/>
    <x:xf numFmtId="164" fontId="6" fillId="3" borderId="0" xfId="0" applyNumberFormat="1" applyFont="1" applyFill="1" applyBorder="1"/>
    <x:xf numFmtId="165" fontId="7" fillId="2" borderId="0" xfId="0" applyNumberFormat="1" applyFont="1" applyFill="1" applyBorder="1"/>
    <x:xf numFmtId="165" fontId="6" fillId="3" borderId="0" xfId="0" applyNumberFormat="1" applyFont="1" applyFill="1" applyBorder="1"/>
    <x:xf numFmtId="0" fontId="6" fillId="4" borderId="0" xfId="0" applyNumberFormat="1" applyFont="1" applyFill="1" applyBorder="1"/>
    <x:xf numFmtId="3" fontId="6" fillId="0" borderId="0" xfId="0" applyNumberFormat="1" applyFont="1" applyFill="1" applyBorder="1"/>
    <x:xf numFmtId="3" fontId="7" fillId="0" borderId="0" xfId="0" applyNumberFormat="1" applyFont="1" applyFill="1" applyBorder="1"/>
    <x:xf numFmtId="0" fontId="6" fillId="3" borderId="0" xfId="0" applyNumberFormat="1" applyFont="1" applyFill="1" applyBorder="1"/>
    <x:xf numFmtId="3" fontId="7" fillId="3" borderId="0" xfId="0" applyNumberFormat="1" applyFont="1" applyFill="1" applyBorder="1"/>
    <x:xf numFmtId="165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3" fontId="7" fillId="2" borderId="0" xfId="0" applyNumberFormat="1" applyFont="1" applyFill="1" applyBorder="1" applyAlignment="1">
      <x:alignment wrapText="1"/>
    </x:xf>
    <x:xf numFmtId="3" fontId="6" fillId="3" borderId="0" xfId="0" applyNumberFormat="1" applyFont="1" applyFill="1" applyBorder="1" applyAlignment="1">
      <x:alignment wrapText="1"/>
    </x:xf>
    <x:xf numFmtId="9" fontId="7" fillId="2" borderId="0" xfId="0" applyNumberFormat="1" applyFont="1" applyFill="1" applyBorder="1" applyAlignment="1">
      <x:alignment wrapText="1"/>
    </x:xf>
    <x:xf numFmtId="9" fontId="6" fillId="3" borderId="0" xfId="0" applyNumberFormat="1" applyFont="1" applyFill="1" applyBorder="1" applyAlignment="1">
      <x:alignment wrapText="1"/>
    </x:xf>
    <x:xf numFmtId="164" fontId="7" fillId="2" borderId="0" xfId="0" applyNumberFormat="1" applyFont="1" applyFill="1" applyBorder="1" applyAlignment="1">
      <x:alignment wrapText="1"/>
    </x:xf>
    <x:xf numFmtId="164" fontId="6" fillId="3" borderId="0" xfId="0" applyNumberFormat="1" applyFont="1" applyFill="1" applyBorder="1" applyAlignment="1">
      <x:alignment wrapText="1"/>
    </x:xf>
    <x:xf numFmtId="165" fontId="7" fillId="2" borderId="0" xfId="0" applyNumberFormat="1" applyFont="1" applyFill="1" applyBorder="1" applyAlignment="1">
      <x:alignment wrapText="1"/>
    </x:xf>
    <x:xf numFmtId="165" fontId="6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3" fontId="7" fillId="6" borderId="0" xfId="0" applyNumberFormat="1" applyFont="1" applyFill="1" applyBorder="1" applyAlignment="1">
      <x:alignment wrapText="1"/>
    </x:xf>
    <x:xf numFmtId="3" fontId="9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165" fontId="8" fillId="5" borderId="0" xfId="0" applyNumberFormat="1" applyFont="1" applyFill="1" applyBorder="1" applyAlignment="1">
      <x:alignment wrapText="1"/>
    </x:xf>
    <x:xf numFmtId="165" fontId="0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/>
    <x:xf numFmtId="200" fontId="7" fillId="2" borderId="0" xfId="0" applyNumberFormat="1" applyFont="1" applyFill="1" applyBorder="1"/>
    <x:xf numFmtId="200" fontId="7" fillId="0" borderId="0" xfId="0" applyNumberFormat="1" applyFont="1" applyFill="1" applyBorder="1"/>
    <x:xf numFmtId="200" fontId="6" fillId="3" borderId="0" xfId="0" applyNumberFormat="1" applyFont="1" applyFill="1" applyBorder="1"/>
    <x:xf numFmtId="200" fontId="7" fillId="3" borderId="0" xfId="0" applyNumberFormat="1" applyFont="1" applyFill="1" applyBorder="1"/>
    <x:xf numFmtId="201" fontId="6" fillId="0" borderId="0" xfId="0" applyNumberFormat="1" applyFont="1" applyFill="1" applyBorder="1"/>
    <x:xf numFmtId="200" fontId="0" fillId="0" borderId="0" xfId="0" applyNumberFormat="1" applyFont="1" applyFill="1" applyBorder="1"/>
    <x:xf numFmtId="202" fontId="7" fillId="0" borderId="0" xfId="0" applyNumberFormat="1" applyFont="1" applyFill="1" applyBorder="1"/>
    <x:xf numFmtId="203" fontId="7" fillId="0" borderId="0" xfId="0" applyNumberFormat="1" applyFont="1" applyFill="1" applyBorder="1"/>
    <x:xf numFmtId="204" fontId="7" fillId="0" borderId="0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/>
    <x:xf numFmtId="205" fontId="7" fillId="0" borderId="0" xfId="0" applyNumberFormat="1" applyFont="1" applyFill="1" applyBorder="1"/>
    <x:xf numFmtId="205" fontId="6" fillId="3" borderId="0" xfId="0" applyNumberFormat="1" applyFont="1" applyFill="1" applyBorder="1"/>
    <x:xf numFmtId="206" fontId="6" fillId="3" borderId="0" xfId="0" applyNumberFormat="1" applyFont="1" applyFill="1" applyBorder="1"/>
    <x:xf numFmtId="206" fontId="7" fillId="0" borderId="0" xfId="0" applyNumberFormat="1" applyFont="1" applyFill="1" applyBorder="1"/>
    <x:xf numFmtId="207" fontId="6" fillId="3" borderId="0" xfId="0" applyNumberFormat="1" applyFont="1" applyFill="1" applyBorder="1"/>
    <x:xf numFmtId="0" fontId="11" fillId="0" borderId="0" xfId="0" applyNumberFormat="1" applyFont="1" applyFill="1" applyBorder="1"/>
    <x:xf numFmtId="200" fontId="7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3" fontId="7" fillId="0" borderId="0" xfId="0" applyNumberFormat="1" applyFont="1" applyFill="1" applyBorder="1" applyAlignment="1">
      <x:alignment wrapText="1"/>
    </x:xf>
    <x:xf numFmtId="3" fontId="6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cb498205c54ccf" /><Relationship Type="http://schemas.openxmlformats.org/officeDocument/2006/relationships/theme" Target="/xl/theme/theme1.xml" Id="Rdc1e8b74df314e6f" /><Relationship Type="http://schemas.openxmlformats.org/officeDocument/2006/relationships/sharedStrings" Target="/xl/sharedStrings.xml" Id="R9e67596bf7244cb9" /><Relationship Type="http://schemas.openxmlformats.org/officeDocument/2006/relationships/worksheet" Target="/xl/worksheets/sheet1.xml" Id="R64b624b40c094e29" /><Relationship Type="http://schemas.openxmlformats.org/officeDocument/2006/relationships/worksheet" Target="/xl/worksheets/sheet2.xml" Id="R64caf62118cf44af" /><Relationship Type="http://schemas.openxmlformats.org/officeDocument/2006/relationships/worksheet" Target="/xl/worksheets/sheet3.xml" Id="R399c378fe41a4fad" /><Relationship Type="http://schemas.openxmlformats.org/officeDocument/2006/relationships/worksheet" Target="/xl/worksheets/sheet4.xml" Id="R8d75fa4a7cf0422d" /><Relationship Type="http://schemas.openxmlformats.org/officeDocument/2006/relationships/worksheet" Target="/xl/worksheets/sheet5.xml" Id="R1993a23f67824cb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32" customHeight="1">
      <x:c r="A1" s="78" t="str">
        <x:v>Попутка: результаты выбранного сценария</x:v>
      </x:c>
      <x:c r="B1" s="23"/>
      <x:c r="C1" s="23"/>
      <x:c r="D1" s="23"/>
    </x:row>
    <x:row r="2" ht="32" customHeight="1">
      <x:c r="A2" s="39" t="str">
        <x:v>Три сценария переключаются на листе «Допущения», ячейка B2.</x:v>
      </x:c>
      <x:c r="B2" s="23"/>
      <x:c r="C2" s="23"/>
      <x:c r="D2" s="23"/>
    </x:row>
    <x:row r="3" ht="32" customHeight="1">
      <x:c r="A3" s="56" t="str">
        <x:v>Показатель</x:v>
      </x:c>
      <x:c r="B3" s="56" t="str">
        <x:f>CHOOSE('Допущения'!$B$2,"Пессимист","База","Оптимист")</x:f>
        <x:v>База</x:v>
      </x:c>
      <x:c r="C3" s="56"/>
      <x:c r="D3" s="56"/>
    </x:row>
    <x:row r="4" ht="32" customHeight="1">
      <x:c r="A4" s="39" t="str">
        <x:v>Средний чек, ₽</x:v>
      </x:c>
      <x:c r="B4" s="79" t="n">
        <x:f>'Допущения'!E6</x:f>
        <x:v>1200</x:v>
      </x:c>
      <x:c r="C4" s="79"/>
      <x:c r="D4" s="79"/>
    </x:row>
    <x:row r="5" ht="32" customHeight="1">
      <x:c r="A5" s="39" t="str">
        <x:v>Курьер за заказ, ₽</x:v>
      </x:c>
      <x:c r="B5" s="79" t="n">
        <x:f>'Допущения'!E11</x:f>
        <x:v>100</x:v>
      </x:c>
      <x:c r="C5" s="79"/>
      <x:c r="D5" s="79"/>
    </x:row>
    <x:row r="6" ht="32" customHeight="1">
      <x:c r="A6" s="39" t="str">
        <x:v>Удержание активных месяц к месяцу</x:v>
      </x:c>
      <x:c r="B6" s="81" t="n">
        <x:f>'Допущения'!E14</x:f>
        <x:v>0.75</x:v>
      </x:c>
      <x:c r="C6" s="79"/>
      <x:c r="D6" s="79"/>
    </x:row>
    <x:row r="7" ht="32" customHeight="1">
      <x:c r="A7" s="39" t="str">
        <x:v>CAC, ₽</x:v>
      </x:c>
      <x:c r="B7" s="79" t="n">
        <x:f>'Допущения'!E15</x:f>
        <x:v>200</x:v>
      </x:c>
      <x:c r="C7" s="79"/>
      <x:c r="D7" s="79"/>
    </x:row>
    <x:row r="8" ht="32" customHeight="1">
      <x:c r="A8" s="39" t="str">
        <x:v>Выручка с заказа, ₽</x:v>
      </x:c>
      <x:c r="B8" s="79" t="n">
        <x:f>'Юнит-экономика'!B5</x:f>
        <x:v>204.14999999999998</x:v>
      </x:c>
      <x:c r="C8" s="79"/>
      <x:c r="D8" s="79"/>
    </x:row>
    <x:row r="9" ht="32" customHeight="1">
      <x:c r="A9" s="39" t="str">
        <x:v>Маржа с заказа, ₽</x:v>
      </x:c>
      <x:c r="B9" s="79" t="n">
        <x:f>'Юнит-экономика'!B10</x:f>
        <x:v>69.04624999999999</x:v>
      </x:c>
      <x:c r="C9" s="79"/>
      <x:c r="D9" s="79"/>
    </x:row>
    <x:row r="10" ht="32" customHeight="1">
      <x:c r="A10" s="39" t="str">
        <x:v>LTV по марже, ₽</x:v>
      </x:c>
      <x:c r="B10" s="79" t="n">
        <x:f>'Юнит-экономика'!B13</x:f>
        <x:v>828.5549999999998</x:v>
      </x:c>
      <x:c r="C10" s="79"/>
      <x:c r="D10" s="79"/>
    </x:row>
    <x:row r="11" ht="32" customHeight="1">
      <x:c r="A11" s="58" t="str">
        <x:v>LTV / CAC</x:v>
      </x:c>
      <x:c r="B11" s="82" t="n">
        <x:f>'Юнит-экономика'!B15</x:f>
        <x:v>4.142774999999999</x:v>
      </x:c>
      <x:c r="C11" s="80"/>
      <x:c r="D11" s="80"/>
    </x:row>
    <x:row r="12" ht="32" customHeight="1">
      <x:c r="A12" s="39" t="str">
        <x:v>Активных пользователей к М6</x:v>
      </x:c>
      <x:c r="B12" s="79" t="n">
        <x:f>'Фин модель (12 мес)'!B30</x:f>
        <x:v>749.08</x:v>
      </x:c>
      <x:c r="C12" s="79"/>
      <x:c r="D12" s="79"/>
    </x:row>
    <x:row r="13" ht="32" customHeight="1">
      <x:c r="A13" s="39" t="str">
        <x:v>Первый месяц с положительным результатом</x:v>
      </x:c>
      <x:c r="B13" s="83" t="n">
        <x:f>'Фин модель (12 мес)'!B28</x:f>
        <x:v>4</x:v>
      </x:c>
      <x:c r="C13" s="79"/>
      <x:c r="D13" s="79"/>
    </x:row>
    <x:row r="14" ht="32" customHeight="1">
      <x:c r="A14" s="58" t="str">
        <x:v>Накопленный результат ≥0: месяц</x:v>
      </x:c>
      <x:c r="B14" s="84" t="n">
        <x:f>'Фин модель (12 мес)'!B29</x:f>
        <x:v>7</x:v>
      </x:c>
      <x:c r="C14" s="80"/>
      <x:c r="D14" s="80"/>
    </x:row>
    <x:row r="15" ht="32" customHeight="1">
      <x:c r="A15" s="39" t="str">
        <x:v>Минимум денег за 12 месяцев, ₽</x:v>
      </x:c>
      <x:c r="B15" s="79" t="n">
        <x:f>'Фин модель (12 мес)'!B26</x:f>
        <x:v>299713.3</x:v>
      </x:c>
      <x:c r="C15" s="79"/>
      <x:c r="D15" s="79"/>
    </x:row>
    <x:row r="16" ht="32" customHeight="1">
      <x:c r="A16" s="39" t="str">
        <x:v>Деньги на конец М6, ₽</x:v>
      </x:c>
      <x:c r="B16" s="79" t="n">
        <x:f>'Фин модель (12 мес)'!B27</x:f>
        <x:v>469861.30184999993</x:v>
      </x:c>
      <x:c r="C16" s="79"/>
      <x:c r="D16" s="79"/>
    </x:row>
    <x:row r="17" ht="32" customHeight="1">
      <x:c r="A17" s="39" t="str">
        <x:v>Массовый маркетинг после пилота</x:v>
      </x:c>
      <x:c r="B17" s="39" t="str">
        <x:f>IF('Допущения'!E22=1,"разрешён в прогнозе","остановлен")</x:f>
        <x:v>разрешён в прогнозе</x:v>
      </x:c>
      <x:c r="C17" s="39"/>
      <x:c r="D17" s="39"/>
    </x:row>
    <x:row r="18">
      <x:c r="A18" s="23"/>
      <x:c r="B18" s="23"/>
      <x:c r="C18" s="23"/>
      <x:c r="D18" s="23"/>
    </x:row>
    <x:row r="19" ht="26" customHeight="1">
      <x:c r="A19" s="39" t="str">
        <x:v>Все значения — прогноз. М1: разработка; М2: пилот и половина месяца продаж. Массовое привлечение с М3 только после проверки пилота.</x:v>
      </x:c>
      <x:c r="B19" s="39"/>
      <x:c r="C19" s="39"/>
      <x:c r="D19" s="39"/>
    </x:row>
    <x:row r="20" ht="26" customHeight="1">
      <x:c r="A20" s="48"/>
      <x:c r="B20" s="48"/>
      <x:c r="C20" s="48"/>
      <x:c r="D20" s="48"/>
    </x:row>
    <x:row r="21" ht="26" customHeight="1">
      <x:c r="A21" s="48"/>
      <x:c r="B21" s="48"/>
      <x:c r="C21" s="48"/>
      <x:c r="D21" s="48"/>
    </x:row>
    <x:row r="22" ht="26" customHeight="1">
      <x:c r="A22" s="48" t="str">
        <x:v>Результат до налогов и возвратов. Зарплата команды в модели равна нулю. Остаток 500 тыс. ₽ означает покрытие накопленных расходов, а не заработанные 500 тыс. ₽.</x:v>
      </x:c>
      <x:c r="B22" s="48"/>
      <x:c r="C22" s="48"/>
      <x:c r="D22" s="48"/>
    </x:row>
    <x:row r="23" ht="26" customHeight="1">
      <x:c r="A23" s="48"/>
      <x:c r="B23" s="48"/>
      <x:c r="C23" s="48"/>
      <x:c r="D23" s="48"/>
    </x:row>
  </x:sheetData>
  <x:mergeCells>
    <x:mergeCell ref="A1:D1"/>
    <x:mergeCell ref="A2:D2"/>
    <x:mergeCell ref="B3:D3"/>
    <x:mergeCell ref="B4:D4"/>
    <x:mergeCell ref="B5:D5"/>
    <x:mergeCell ref="B6:D6"/>
    <x:mergeCell ref="B7:D7"/>
    <x:mergeCell ref="B8:D8"/>
    <x:mergeCell ref="B9:D9"/>
    <x:mergeCell ref="B10:D10"/>
    <x:mergeCell ref="B11:D11"/>
    <x:mergeCell ref="B12:D12"/>
    <x:mergeCell ref="B13:D13"/>
    <x:mergeCell ref="B14:D14"/>
    <x:mergeCell ref="B15:D15"/>
    <x:mergeCell ref="B16:D16"/>
    <x:mergeCell ref="B17:D17"/>
    <x:mergeCell ref="A19:D20"/>
    <x:mergeCell ref="A22:D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6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54" hidden="0" customWidth="1"/>
  </x:cols>
  <x:sheetData>
    <x:row r="1">
      <x:c r="A1" s="22" t="str">
        <x:v>Попутка: допущения</x:v>
      </x:c>
      <x:c r="B1" s="23" t="n"/>
      <x:c r="C1" s="23" t="n"/>
      <x:c r="D1" s="23" t="n"/>
      <x:c r="E1" s="23" t="n"/>
      <x:c r="F1" s="23" t="n"/>
    </x:row>
    <x:row r="2">
      <x:c r="A2" s="23" t="str">
        <x:v>Сценарий: 1 — пессимист, 2 — база, 3 — оптимист</x:v>
      </x:c>
      <x:c r="B2" s="24" t="n">
        <x:v>2</x:v>
      </x:c>
      <x:c r="C2" s="23" t="n"/>
      <x:c r="D2" s="23" t="n"/>
      <x:c r="E2" s="23" t="n"/>
      <x:c r="F2" s="23" t="n"/>
    </x:row>
    <x:row r="3">
      <x:c r="A3" s="23" t="str">
        <x:v>Жёлтые ячейки — гипотезы. М1 начинается с разработки.</x:v>
      </x:c>
      <x:c r="B3" s="23" t="n"/>
      <x:c r="C3" s="23" t="n"/>
      <x:c r="D3" s="23" t="n"/>
      <x:c r="E3" s="23" t="n"/>
      <x:c r="F3" s="23" t="n"/>
    </x:row>
    <x:row r="4">
      <x:c r="A4" s="23" t="n"/>
      <x:c r="B4" s="23" t="n"/>
      <x:c r="C4" s="23" t="n"/>
      <x:c r="D4" s="23" t="n"/>
      <x:c r="E4" s="23" t="n"/>
      <x:c r="F4" s="23" t="n"/>
    </x:row>
    <x:row r="5" ht="31" customHeight="1">
      <x:c r="A5" s="39" t="inlineStr">
        <x:is>
          <x:t xml:space="preserve">Параметр</x:t>
        </x:is>
      </x:c>
      <x:c r="B5" s="39" t="inlineStr">
        <x:is>
          <x:t xml:space="preserve">Пессимист</x:t>
        </x:is>
      </x:c>
      <x:c r="C5" s="39" t="inlineStr">
        <x:is>
          <x:t xml:space="preserve">База</x:t>
        </x:is>
      </x:c>
      <x:c r="D5" s="39" t="inlineStr">
        <x:is>
          <x:t xml:space="preserve">Оптимист</x:t>
        </x:is>
      </x:c>
      <x:c r="E5" s="39" t="inlineStr">
        <x:is>
          <x:t xml:space="preserve">АКТИВНЫЙ</x:t>
        </x:is>
      </x:c>
      <x:c r="F5" s="39" t="inlineStr">
        <x:is>
          <x:t xml:space="preserve">Комментарий</x:t>
        </x:is>
      </x:c>
    </x:row>
    <x:row r="6" ht="31" customHeight="1">
      <x:c r="A6" s="39" t="inlineStr">
        <x:is>
          <x:t xml:space="preserve">Средний чек товаров, ₽</x:t>
        </x:is>
      </x:c>
      <x:c r="B6" s="40" t="n">
        <x:v>1100</x:v>
      </x:c>
      <x:c r="C6" s="40" t="n">
        <x:v>1200</x:v>
      </x:c>
      <x:c r="D6" s="40" t="n">
        <x:v>1300</x:v>
      </x:c>
      <x:c r="E6" s="41" t="n">
        <x:f>CHOOSE($B$2,B6,C6,D6)</x:f>
        <x:v>1200</x:v>
      </x:c>
      <x:c r="F6" s="39" t="inlineStr">
        <x:is>
          <x:t xml:space="preserve">корзина из 1–3 магазинов</x:t>
        </x:is>
      </x:c>
    </x:row>
    <x:row r="7" ht="31" customHeight="1">
      <x:c r="A7" s="39" t="inlineStr">
        <x:is>
          <x:t xml:space="preserve">Доставка с клиента, ₽</x:t>
        </x:is>
      </x:c>
      <x:c r="B7" s="40" t="n">
        <x:v>99</x:v>
      </x:c>
      <x:c r="C7" s="40" t="n">
        <x:v>99</x:v>
      </x:c>
      <x:c r="D7" s="40" t="n">
        <x:v>99</x:v>
      </x:c>
      <x:c r="E7" s="41" t="n">
        <x:f>CHOOSE($B$2,B7,C7,D7)</x:f>
        <x:v>99</x:v>
      </x:c>
      <x:c r="F7" s="39" t="inlineStr">
        <x:is>
          <x:t xml:space="preserve"/>
        </x:is>
      </x:c>
    </x:row>
    <x:row r="8" ht="31" customHeight="1">
      <x:c r="A8" s="39" t="inlineStr">
        <x:is>
          <x:t xml:space="preserve">Доля заказов с бесплатной доставкой</x:t>
        </x:is>
      </x:c>
      <x:c r="B8" s="42" t="n">
        <x:v>0.25</x:v>
      </x:c>
      <x:c r="C8" s="42" t="n">
        <x:v>0.15</x:v>
      </x:c>
      <x:c r="D8" s="42" t="n">
        <x:v>0.1</x:v>
      </x:c>
      <x:c r="E8" s="43" t="n">
        <x:f>CHOOSE($B$2,B8,C8,D8)</x:f>
        <x:v>0.15</x:v>
      </x:c>
      <x:c r="F8" s="39" t="str">
        <x:v>Лимит адресных акций; общей бесплатной первой доставки нет.</x:v>
      </x:c>
    </x:row>
    <x:row r="9" ht="31" customHeight="1">
      <x:c r="A9" s="39" t="inlineStr">
        <x:is>
          <x:t xml:space="preserve">Комиссия магазина</x:t>
        </x:is>
      </x:c>
      <x:c r="B9" s="42" t="n">
        <x:v>0.1</x:v>
      </x:c>
      <x:c r="C9" s="42" t="n">
        <x:v>0.1</x:v>
      </x:c>
      <x:c r="D9" s="42" t="n">
        <x:v>0.1</x:v>
      </x:c>
      <x:c r="E9" s="43" t="n">
        <x:f>CHOOSE($B$2,B9,C9,D9)</x:f>
        <x:v>0.1</x:v>
      </x:c>
      <x:c r="F9" s="39" t="str">
        <x:v>Допущение для переговоров с магазинами.</x:v>
      </x:c>
    </x:row>
    <x:row r="10" ht="31" customHeight="1">
      <x:c r="A10" s="39" t="inlineStr">
        <x:is>
          <x:t xml:space="preserve">Эквайринг (от оплаты клиента)</x:t>
        </x:is>
      </x:c>
      <x:c r="B10" s="44" t="n">
        <x:v>0.025</x:v>
      </x:c>
      <x:c r="C10" s="44" t="n">
        <x:v>0.025</x:v>
      </x:c>
      <x:c r="D10" s="44" t="n">
        <x:v>0.025</x:v>
      </x:c>
      <x:c r="E10" s="45" t="n">
        <x:f>CHOOSE($B$2,B10,C10,D10)</x:f>
        <x:v>0.025</x:v>
      </x:c>
      <x:c r="F10" s="39" t="str">
        <x:v>Расчётная ставка, подтвердить тариф провайдера.</x:v>
      </x:c>
    </x:row>
    <x:row r="11" ht="31" customHeight="1">
      <x:c r="A11" s="39" t="inlineStr">
        <x:is>
          <x:t xml:space="preserve">Курьер за заказ, ₽</x:t>
        </x:is>
      </x:c>
      <x:c r="B11" s="52" t="n">
        <x:f>B19/B20</x:f>
        <x:v>120</x:v>
      </x:c>
      <x:c r="C11" s="52" t="n">
        <x:f>C19/C20</x:f>
        <x:v>100</x:v>
      </x:c>
      <x:c r="D11" s="52" t="n">
        <x:f>D19/D20</x:f>
        <x:v>90</x:v>
      </x:c>
      <x:c r="E11" s="41" t="n">
        <x:f>CHOOSE($B$2,B11,C11,D11)</x:f>
        <x:v>100</x:v>
      </x:c>
      <x:c r="F11" s="39" t="str">
        <x:v>Цена рейса / среднее число заказов в рейсе.</x:v>
      </x:c>
    </x:row>
    <x:row r="12" ht="31" customHeight="1">
      <x:c r="A12" s="39" t="str">
        <x:v>ИИ на заказ, ₽</x:v>
      </x:c>
      <x:c r="B12" s="40" t="n">
        <x:v>5</x:v>
      </x:c>
      <x:c r="C12" s="40" t="n">
        <x:v>3</x:v>
      </x:c>
      <x:c r="D12" s="40" t="n">
        <x:v>3</x:v>
      </x:c>
      <x:c r="E12" s="41" t="n">
        <x:f>CHOOSE($B$2,B12,C12,D12)</x:f>
        <x:v>3</x:v>
      </x:c>
      <x:c r="F12" s="39" t="str">
        <x:v>Переменные вызовы ИИ; фиксированный сервер отдельно.</x:v>
      </x:c>
    </x:row>
    <x:row r="13" ht="31" customHeight="1">
      <x:c r="A13" s="39" t="inlineStr">
        <x:is>
          <x:t xml:space="preserve">Заказов на активного в месяц</x:t>
        </x:is>
      </x:c>
      <x:c r="B13" s="46" t="n">
        <x:v>2</x:v>
      </x:c>
      <x:c r="C13" s="46" t="n">
        <x:v>3</x:v>
      </x:c>
      <x:c r="D13" s="46" t="n">
        <x:v>3.5</x:v>
      </x:c>
      <x:c r="E13" s="47" t="n">
        <x:f>CHOOSE($B$2,B13,C13,D13)</x:f>
        <x:v>3</x:v>
      </x:c>
      <x:c r="F13" s="39" t="str">
        <x:v>Частота за полный месяц; в М2 продажи половину месяца.</x:v>
      </x:c>
    </x:row>
    <x:row r="14" ht="31" customHeight="1">
      <x:c r="A14" s="39" t="inlineStr">
        <x:is>
          <x:t xml:space="preserve">Удержание активных месяц к месяцу</x:t>
        </x:is>
      </x:c>
      <x:c r="B14" s="42" t="n">
        <x:v>0.65</x:v>
      </x:c>
      <x:c r="C14" s="42" t="n">
        <x:v>0.75</x:v>
      </x:c>
      <x:c r="D14" s="42" t="n">
        <x:v>0.85</x:v>
      </x:c>
      <x:c r="E14" s="43" t="n">
        <x:f>CHOOSE($B$2,B14,C14,D14)</x:f>
        <x:v>0.75</x:v>
      </x:c>
      <x:c r="F14" s="39" t="str">
        <x:v>Самостоятельная гипотеза; не следует из retention-7.</x:v>
      </x:c>
    </x:row>
    <x:row r="15" ht="31" customHeight="1">
      <x:c r="A15" s="39" t="inlineStr">
        <x:is>
          <x:t xml:space="preserve">CAC (маркетинг на 1 нового), ₽</x:t>
        </x:is>
      </x:c>
      <x:c r="B15" s="40" t="n">
        <x:v>300</x:v>
      </x:c>
      <x:c r="C15" s="40" t="n">
        <x:v>200</x:v>
      </x:c>
      <x:c r="D15" s="40" t="n">
        <x:v>130</x:v>
      </x:c>
      <x:c r="E15" s="41" t="n">
        <x:f>CHOOSE($B$2,B15,C15,D15)</x:f>
        <x:v>200</x:v>
      </x:c>
      <x:c r="F15" s="39" t="inlineStr">
        <x:is>
          <x:t xml:space="preserve">QR в магазинах, паблики, листовки</x:t>
        </x:is>
      </x:c>
    </x:row>
    <x:row r="16" ht="31" customHeight="1">
      <x:c r="A16" s="39" t="inlineStr">
        <x:is>
          <x:t xml:space="preserve">Рефералы: новые от активных в мес</x:t>
        </x:is>
      </x:c>
      <x:c r="B16" s="42" t="n">
        <x:v>0.03</x:v>
      </x:c>
      <x:c r="C16" s="42" t="n">
        <x:v>0.05</x:v>
      </x:c>
      <x:c r="D16" s="42" t="n">
        <x:v>0.08</x:v>
      </x:c>
      <x:c r="E16" s="43" t="n">
        <x:f>CHOOSE($B$2,B16,C16,D16)</x:f>
        <x:v>0.05</x:v>
      </x:c>
      <x:c r="F16" s="39" t="str">
        <x:v>Органические рекомендации; без обещания бесплатной недели.</x:v>
      </x:c>
    </x:row>
    <x:row r="17" ht="31" customHeight="1">
      <x:c r="A17" s="39" t="inlineStr">
        <x:is>
          <x:t xml:space="preserve">Заказов на 1 курьера в месяц</x:t>
        </x:is>
      </x:c>
      <x:c r="B17" s="40" t="n">
        <x:v>650</x:v>
      </x:c>
      <x:c r="C17" s="40" t="n">
        <x:v>650</x:v>
      </x:c>
      <x:c r="D17" s="40" t="n">
        <x:v>650</x:v>
      </x:c>
      <x:c r="E17" s="41" t="n">
        <x:f>CHOOSE($B$2,B17,C17,D17)</x:f>
        <x:v>650</x:v>
      </x:c>
      <x:c r="F17" s="39" t="inlineStr">
        <x:is>
          <x:t xml:space="preserve">~25 в день × 26 дней</x:t>
        </x:is>
      </x:c>
    </x:row>
    <x:row r="18" ht="31" customHeight="1">
      <x:c r="A18" s="39" t="inlineStr">
        <x:is>
          <x:t xml:space="preserve">Стартовый бюджет, ₽</x:t>
        </x:is>
      </x:c>
      <x:c r="B18" s="40" t="n">
        <x:v>500000</x:v>
      </x:c>
      <x:c r="C18" s="40" t="n">
        <x:v>500000</x:v>
      </x:c>
      <x:c r="D18" s="40" t="n">
        <x:v>500000</x:v>
      </x:c>
      <x:c r="E18" s="41" t="n">
        <x:f>CHOOSE($B$2,B18,C18,D18)</x:f>
        <x:v>500000</x:v>
      </x:c>
      <x:c r="F18" s="39" t="str">
        <x:v>Шесть месяцев с начала разработки, без дополнительных вложений.</x:v>
      </x:c>
    </x:row>
    <x:row r="19" ht="31" customHeight="1">
      <x:c r="A19" s="48" t="str">
        <x:v>Стоимость одного рейса, ₽</x:v>
      </x:c>
      <x:c r="B19" s="50" t="n">
        <x:v>300</x:v>
      </x:c>
      <x:c r="C19" s="50" t="n">
        <x:v>300</x:v>
      </x:c>
      <x:c r="D19" s="50" t="n">
        <x:v>270</x:v>
      </x:c>
      <x:c r="E19" s="48" t="n">
        <x:f>CHOOSE($B$2,B19,C19,D19)</x:f>
        <x:v>300</x:v>
      </x:c>
      <x:c r="F19" s="48" t="str">
        <x:v>Включает все остановки и ожидание; проверить на пилоте.</x:v>
      </x:c>
    </x:row>
    <x:row r="20" ht="31" customHeight="1">
      <x:c r="A20" s="48" t="str">
        <x:v>Среднее число заказов в рейсе</x:v>
      </x:c>
      <x:c r="B20" s="54" t="n">
        <x:v>2.5</x:v>
      </x:c>
      <x:c r="C20" s="54" t="n">
        <x:v>3</x:v>
      </x:c>
      <x:c r="D20" s="54" t="n">
        <x:v>3</x:v>
      </x:c>
      <x:c r="E20" s="55" t="n">
        <x:f>CHOOSE($B$2,B20,C20,D20)</x:f>
        <x:v>3</x:v>
      </x:c>
      <x:c r="F20" s="48" t="str">
        <x:v>Для базы: 300 ₽ / 3 заказа = 100 ₽ на заказ.</x:v>
      </x:c>
    </x:row>
    <x:row r="21" ht="31" customHeight="1">
      <x:c r="A21" s="48" t="str">
        <x:v>Пилот подтверждён: 1 — да, 0 — нет</x:v>
      </x:c>
      <x:c r="B21" s="50" t="n">
        <x:v>0</x:v>
      </x:c>
      <x:c r="C21" s="50" t="n">
        <x:v>1</x:v>
      </x:c>
      <x:c r="D21" s="50" t="n">
        <x:v>1</x:v>
      </x:c>
      <x:c r="E21" s="48" t="n">
        <x:f>CHOOSE($B$2,B21,C21,D21)</x:f>
        <x:v>1</x:v>
      </x:c>
      <x:c r="F21" s="48" t="str">
        <x:v>Прогнозное допущение; 1 не означает проведённый пилот.</x:v>
      </x:c>
    </x:row>
    <x:row r="22" ht="31" customHeight="1">
      <x:c r="A22" s="48" t="str">
        <x:v>Массовый маркетинг разрешён: 1 / 0</x:v>
      </x:c>
      <x:c r="B22" s="53" t="n">
        <x:f>IF(AND(B21=1,B20&gt;=3,B11&lt;=100),1,0)</x:f>
        <x:v>0</x:v>
      </x:c>
      <x:c r="C22" s="53" t="n">
        <x:f>IF(AND(C21=1,C20&gt;=3,C11&lt;=100),1,0)</x:f>
        <x:v>1</x:v>
      </x:c>
      <x:c r="D22" s="53" t="n">
        <x:f>IF(AND(D21=1,D20&gt;=3,D11&lt;=100),1,0)</x:f>
        <x:v>1</x:v>
      </x:c>
      <x:c r="E22" s="53" t="n">
        <x:f>CHOOSE($B$2,B22,C22,D22)</x:f>
        <x:v>1</x:v>
      </x:c>
      <x:c r="F22" s="48" t="str">
        <x:v>Пилот подтверждён, ≥3 заказа в рейсе, курьер ≤100 ₽.</x:v>
      </x:c>
    </x:row>
  </x:sheetData>
  <x:mergeCells>
    <x:mergeCell ref="A3:F3"/>
  </x:mergeCells>
  <x:dataValidations count="2">
    <x:dataValidation type="whole" operator="between" sqref="B2">
      <x:formula1>1</x:formula1>
      <x:formula2>3</x:formula2>
    </x:dataValidation>
    <x:dataValidation type="list" sqref="B21:D21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65" hidden="0" customWidth="1"/>
    <x:col min="2" max="2" width="21" hidden="0" customWidth="1"/>
  </x:cols>
  <x:sheetData>
    <x:row r="1">
      <x:c r="A1" s="22" t="str">
        <x:v>Попутка: экономика заказа и клиента</x:v>
      </x:c>
      <x:c r="B1" s="23" t="n"/>
    </x:row>
    <x:row r="2">
      <x:c r="A2" s="23" t="n"/>
      <x:c r="B2" s="23" t="n"/>
    </x:row>
    <x:row r="3" ht="29" customHeight="1">
      <x:c r="A3" s="39" t="inlineStr">
        <x:is>
          <x:t xml:space="preserve">Выручка: доставка (с учётом бесплатных), ₽</x:t>
        </x:is>
      </x:c>
      <x:c r="B3" s="73" t="n">
        <x:f>'Допущения'!$E$7*(1-'Допущения'!$E$8)</x:f>
        <x:v>84.14999999999999</x:v>
      </x:c>
    </x:row>
    <x:row r="4" ht="29" customHeight="1">
      <x:c r="A4" s="39" t="inlineStr">
        <x:is>
          <x:t xml:space="preserve">Выручка: комиссия магазина, ₽</x:t>
        </x:is>
      </x:c>
      <x:c r="B4" s="73" t="n">
        <x:f>'Допущения'!$E$6*'Допущения'!$E$9</x:f>
        <x:v>120</x:v>
      </x:c>
    </x:row>
    <x:row r="5" ht="29" customHeight="1">
      <x:c r="A5" s="58" t="inlineStr">
        <x:is>
          <x:t xml:space="preserve">Выручка с заказа, ₽</x:t>
        </x:is>
      </x:c>
      <x:c r="B5" s="74" t="n">
        <x:f>B3+B4</x:f>
        <x:v>204.14999999999998</x:v>
      </x:c>
    </x:row>
    <x:row r="6" ht="29" customHeight="1">
      <x:c r="A6" s="39" t="inlineStr">
        <x:is>
          <x:t xml:space="preserve">Курьер, ₽</x:t>
        </x:is>
      </x:c>
      <x:c r="B6" s="73" t="n">
        <x:f>'Допущения'!$E$11</x:f>
        <x:v>100</x:v>
      </x:c>
    </x:row>
    <x:row r="7" ht="29" customHeight="1">
      <x:c r="A7" s="39" t="str">
        <x:v>ИИ на заказ, ₽</x:v>
      </x:c>
      <x:c r="B7" s="73" t="n">
        <x:f>'Допущения'!$E$12</x:f>
        <x:v>3</x:v>
      </x:c>
    </x:row>
    <x:row r="8" ht="29" customHeight="1">
      <x:c r="A8" s="39" t="inlineStr">
        <x:is>
          <x:t xml:space="preserve">Эквайринг, ₽</x:t>
        </x:is>
      </x:c>
      <x:c r="B8" s="73" t="n">
        <x:f>'Допущения'!$E$10*('Допущения'!$E$6+B3)</x:f>
        <x:v>32.103750000000005</x:v>
      </x:c>
    </x:row>
    <x:row r="9" ht="29" customHeight="1">
      <x:c r="A9" s="39" t="inlineStr">
        <x:is>
          <x:t xml:space="preserve">Переменные расходы на заказ, ₽</x:t>
        </x:is>
      </x:c>
      <x:c r="B9" s="73" t="n">
        <x:f>B6+B7+B8</x:f>
        <x:v>135.10375</x:v>
      </x:c>
    </x:row>
    <x:row r="10" ht="29" customHeight="1">
      <x:c r="A10" s="58" t="str">
        <x:v>Маржа до постоянных расходов и налогов, ₽</x:v>
      </x:c>
      <x:c r="B10" s="74" t="n">
        <x:f>B5-B9</x:f>
        <x:v>69.04624999999999</x:v>
      </x:c>
    </x:row>
    <x:row r="11" ht="29" customHeight="1">
      <x:c r="A11" s="39" t="inlineStr">
        <x:is>
          <x:t xml:space="preserve">Маржа с клиента в месяц, ₽</x:t>
        </x:is>
      </x:c>
      <x:c r="B11" s="73" t="n">
        <x:f>B10*'Допущения'!$E$13</x:f>
        <x:v>207.13874999999996</x:v>
      </x:c>
    </x:row>
    <x:row r="12" ht="29" customHeight="1">
      <x:c r="A12" s="39" t="inlineStr">
        <x:is>
          <x:t xml:space="preserve">Срок жизни клиента, мес</x:t>
        </x:is>
      </x:c>
      <x:c r="B12" s="73" t="n">
        <x:f>1/(1-'Допущения'!$E$14)</x:f>
        <x:v>4</x:v>
      </x:c>
    </x:row>
    <x:row r="13" ht="29" customHeight="1">
      <x:c r="A13" s="58" t="inlineStr">
        <x:is>
          <x:t xml:space="preserve">LTV (по марже), ₽</x:t>
        </x:is>
      </x:c>
      <x:c r="B13" s="77" t="n">
        <x:f>B11*B12</x:f>
        <x:v>828.5549999999998</x:v>
      </x:c>
    </x:row>
    <x:row r="14" ht="29" customHeight="1">
      <x:c r="A14" s="39" t="inlineStr">
        <x:is>
          <x:t xml:space="preserve">CAC, ₽</x:t>
        </x:is>
      </x:c>
      <x:c r="B14" s="73" t="n">
        <x:f>'Допущения'!$E$15</x:f>
        <x:v>200</x:v>
      </x:c>
    </x:row>
    <x:row r="15" ht="29" customHeight="1">
      <x:c r="A15" s="58" t="inlineStr">
        <x:is>
          <x:t xml:space="preserve">LTV / CAC</x:t>
        </x:is>
      </x:c>
      <x:c r="B15" s="75" t="n">
        <x:f>B13/B14</x:f>
        <x:v>4.142774999999999</x:v>
      </x:c>
    </x:row>
    <x:row r="16" ht="29" customHeight="1">
      <x:c r="A16" s="39" t="str">
        <x:v>Окупаемость CAC при полной частоте, мес</x:v>
      </x:c>
      <x:c r="B16" s="76" t="n">
        <x:f>B14/B11</x:f>
        <x:v>0.9655363856352326</x:v>
      </x:c>
    </x:row>
    <x:row r="18" ht="38" customHeight="1">
      <x:c r="A18" s="48" t="str">
        <x:v>LTV предполагает неизменное месячное удержание и частоту заказов.</x:v>
      </x:c>
      <x:c r="B18" s="48"/>
    </x:row>
    <x:row r="40">
      <x:c r="A40" t="str">
        <x:v>Выбранный сценарий</x:v>
      </x:c>
      <x:c r="B40" s="87" t="str">
        <x:f>CHOOSE('Допущения'!$B$2,"Пессимист","База","Оптимист")</x:f>
        <x:v>База</x:v>
      </x:c>
    </x:row>
  </x:sheetData>
  <x:mergeCells>
    <x:mergeCell ref="A18:B1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2" topLeftCell="C3" activePane="bottomRight" state="frozen"/>
    </x:sheetView>
  </x:sheetViews>
  <x:sheetFormatPr baseColWidth="8" defaultRowHeight="15"/>
  <x:cols>
    <x:col min="1" max="1" width="5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>
      <x:c r="A1" s="22" t="str">
        <x:v>Попутка: 12 месяцев с начала разработки</x:v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 ht="28" customHeight="1">
      <x:c r="A2" s="56" t="inlineStr">
        <x:is>
          <x:t xml:space="preserve">Статья</x:t>
        </x:is>
      </x:c>
      <x:c r="B2" s="33" t="inlineStr">
        <x:is>
          <x:t xml:space="preserve">Итого</x:t>
        </x:is>
      </x:c>
      <x:c r="C2" s="33" t="inlineStr">
        <x:is>
          <x:t xml:space="preserve">М1</x:t>
        </x:is>
      </x:c>
      <x:c r="D2" s="33" t="inlineStr">
        <x:is>
          <x:t xml:space="preserve">М2</x:t>
        </x:is>
      </x:c>
      <x:c r="E2" s="33" t="inlineStr">
        <x:is>
          <x:t xml:space="preserve">М3</x:t>
        </x:is>
      </x:c>
      <x:c r="F2" s="33" t="inlineStr">
        <x:is>
          <x:t xml:space="preserve">М4</x:t>
        </x:is>
      </x:c>
      <x:c r="G2" s="33" t="inlineStr">
        <x:is>
          <x:t xml:space="preserve">М5</x:t>
        </x:is>
      </x:c>
      <x:c r="H2" s="33" t="inlineStr">
        <x:is>
          <x:t xml:space="preserve">М6</x:t>
        </x:is>
      </x:c>
      <x:c r="I2" s="33" t="inlineStr">
        <x:is>
          <x:t xml:space="preserve">М7</x:t>
        </x:is>
      </x:c>
      <x:c r="J2" s="33" t="inlineStr">
        <x:is>
          <x:t xml:space="preserve">М8</x:t>
        </x:is>
      </x:c>
      <x:c r="K2" s="33" t="inlineStr">
        <x:is>
          <x:t xml:space="preserve">М9</x:t>
        </x:is>
      </x:c>
      <x:c r="L2" s="33" t="inlineStr">
        <x:is>
          <x:t xml:space="preserve">М10</x:t>
        </x:is>
      </x:c>
      <x:c r="M2" s="33" t="inlineStr">
        <x:is>
          <x:t xml:space="preserve">М11</x:t>
        </x:is>
      </x:c>
      <x:c r="N2" s="33" t="inlineStr">
        <x:is>
          <x:t xml:space="preserve">М12</x:t>
        </x:is>
      </x:c>
    </x:row>
    <x:row r="3" ht="28" customHeight="1">
      <x:c r="A3" s="39" t="str">
        <x:v>Привлечение: пилот / массовый маркетинг</x:v>
      </x:c>
      <x:c r="B3" s="59" t="n">
        <x:f>SUM(C3:N3)</x:f>
        <x:v>440000</x:v>
      </x:c>
      <x:c r="C3" s="60" t="n">
        <x:f>C33</x:f>
        <x:v>0</x:v>
      </x:c>
      <x:c r="D3" s="60" t="n">
        <x:f>D33</x:f>
        <x:v>10000</x:v>
      </x:c>
      <x:c r="E3" s="60" t="n">
        <x:f>E33*'Допущения'!$E$22</x:f>
        <x:v>35000</x:v>
      </x:c>
      <x:c r="F3" s="60" t="n">
        <x:f>F33*'Допущения'!$E$22</x:f>
        <x:v>45000</x:v>
      </x:c>
      <x:c r="G3" s="60" t="n">
        <x:f>G33*'Допущения'!$E$22</x:f>
        <x:v>55000</x:v>
      </x:c>
      <x:c r="H3" s="60" t="n">
        <x:f>H33*'Допущения'!$E$22</x:f>
        <x:v>55000</x:v>
      </x:c>
      <x:c r="I3" s="60" t="n">
        <x:f>I33*'Допущения'!$E$22</x:f>
        <x:v>40000</x:v>
      </x:c>
      <x:c r="J3" s="60" t="n">
        <x:f>J33*'Допущения'!$E$22</x:f>
        <x:v>40000</x:v>
      </x:c>
      <x:c r="K3" s="60" t="n">
        <x:f>K33*'Допущения'!$E$22</x:f>
        <x:v>40000</x:v>
      </x:c>
      <x:c r="L3" s="60" t="n">
        <x:f>L33*'Допущения'!$E$22</x:f>
        <x:v>40000</x:v>
      </x:c>
      <x:c r="M3" s="60" t="n">
        <x:f>M33*'Допущения'!$E$22</x:f>
        <x:v>40000</x:v>
      </x:c>
      <x:c r="N3" s="60" t="n">
        <x:f>N33*'Допущения'!$E$22</x:f>
        <x:v>40000</x:v>
      </x:c>
    </x:row>
    <x:row r="4" ht="28" customHeight="1">
      <x:c r="A4" s="39" t="inlineStr">
        <x:is>
          <x:t xml:space="preserve">Разработка</x:t>
        </x:is>
      </x:c>
      <x:c r="B4" s="59" t="n">
        <x:f>SUM(C4:N4)</x:f>
        <x:v>150000</x:v>
      </x:c>
      <x:c r="C4" s="60" t="n">
        <x:v>60000</x:v>
      </x:c>
      <x:c r="D4" s="60" t="n">
        <x:v>50000</x:v>
      </x:c>
      <x:c r="E4" s="60" t="n">
        <x:v>20000</x:v>
      </x:c>
      <x:c r="F4" s="60" t="n">
        <x:v>10000</x:v>
      </x:c>
      <x:c r="G4" s="60" t="n">
        <x:v>5000</x:v>
      </x:c>
      <x:c r="H4" s="60" t="n">
        <x:v>5000</x:v>
      </x:c>
      <x:c r="I4" s="60" t="n">
        <x:v>0</x:v>
      </x:c>
      <x:c r="J4" s="60" t="n">
        <x:v>0</x:v>
      </x:c>
      <x:c r="K4" s="60" t="n">
        <x:v>0</x:v>
      </x:c>
      <x:c r="L4" s="60" t="n">
        <x:v>0</x:v>
      </x:c>
      <x:c r="M4" s="60" t="n">
        <x:v>0</x:v>
      </x:c>
      <x:c r="N4" s="60" t="n">
        <x:v>0</x:v>
      </x:c>
    </x:row>
    <x:row r="5" ht="28" customHeight="1">
      <x:c r="A5" s="39" t="str">
        <x:v>Поддержка курьеров сверх оплаты заказов</x:v>
      </x:c>
      <x:c r="B5" s="59" t="n">
        <x:f>SUM(C5:N5)</x:f>
        <x:v>60000</x:v>
      </x:c>
      <x:c r="C5" s="60" t="n">
        <x:v>0</x:v>
      </x:c>
      <x:c r="D5" s="60" t="n">
        <x:v>30000</x:v>
      </x:c>
      <x:c r="E5" s="60" t="n">
        <x:v>30000</x:v>
      </x:c>
      <x:c r="F5" s="60" t="n">
        <x:v>0</x:v>
      </x:c>
      <x:c r="G5" s="60" t="n">
        <x:v>0</x:v>
      </x:c>
      <x:c r="H5" s="60" t="n">
        <x:v>0</x:v>
      </x:c>
      <x:c r="I5" s="60" t="n">
        <x:v>0</x:v>
      </x:c>
      <x:c r="J5" s="60" t="n">
        <x:v>0</x:v>
      </x:c>
      <x:c r="K5" s="60" t="n">
        <x:v>0</x:v>
      </x:c>
      <x:c r="L5" s="60" t="n">
        <x:v>0</x:v>
      </x:c>
      <x:c r="M5" s="60" t="n">
        <x:v>0</x:v>
      </x:c>
      <x:c r="N5" s="60" t="n">
        <x:v>0</x:v>
      </x:c>
    </x:row>
    <x:row r="6" ht="28" customHeight="1">
      <x:c r="A6" s="39" t="inlineStr">
        <x:is>
          <x:t xml:space="preserve">Сервер, API (фикс.)</x:t>
        </x:is>
      </x:c>
      <x:c r="B6" s="59" t="n">
        <x:f>SUM(C6:N6)</x:f>
        <x:v>60000</x:v>
      </x:c>
      <x:c r="C6" s="60" t="n">
        <x:v>5000</x:v>
      </x:c>
      <x:c r="D6" s="60" t="n">
        <x:v>5000</x:v>
      </x:c>
      <x:c r="E6" s="60" t="n">
        <x:v>5000</x:v>
      </x:c>
      <x:c r="F6" s="60" t="n">
        <x:v>5000</x:v>
      </x:c>
      <x:c r="G6" s="60" t="n">
        <x:v>5000</x:v>
      </x:c>
      <x:c r="H6" s="60" t="n">
        <x:v>5000</x:v>
      </x:c>
      <x:c r="I6" s="60" t="n">
        <x:v>5000</x:v>
      </x:c>
      <x:c r="J6" s="60" t="n">
        <x:v>5000</x:v>
      </x:c>
      <x:c r="K6" s="60" t="n">
        <x:v>5000</x:v>
      </x:c>
      <x:c r="L6" s="60" t="n">
        <x:v>5000</x:v>
      </x:c>
      <x:c r="M6" s="60" t="n">
        <x:v>5000</x:v>
      </x:c>
      <x:c r="N6" s="60" t="n">
        <x:v>5000</x:v>
      </x:c>
    </x:row>
    <x:row r="7" ht="28" customHeight="1">
      <x:c r="A7" s="39" t="inlineStr">
        <x:is>
          <x:t xml:space="preserve">Зарплата команды</x:t>
        </x:is>
      </x:c>
      <x:c r="B7" s="59" t="n">
        <x:f>SUM(C7:N7)</x:f>
        <x:v>0</x:v>
      </x:c>
      <x:c r="C7" s="60" t="n">
        <x:v>0</x:v>
      </x:c>
      <x:c r="D7" s="60" t="n">
        <x:v>0</x:v>
      </x:c>
      <x:c r="E7" s="60" t="n">
        <x:v>0</x:v>
      </x:c>
      <x:c r="F7" s="60" t="n">
        <x:v>0</x:v>
      </x:c>
      <x:c r="G7" s="60" t="n">
        <x:v>0</x:v>
      </x:c>
      <x:c r="H7" s="60" t="n">
        <x:v>0</x:v>
      </x:c>
      <x:c r="I7" s="60" t="n">
        <x:v>0</x:v>
      </x:c>
      <x:c r="J7" s="60" t="n">
        <x:v>0</x:v>
      </x:c>
      <x:c r="K7" s="60" t="n">
        <x:v>0</x:v>
      </x:c>
      <x:c r="L7" s="60" t="n">
        <x:v>0</x:v>
      </x:c>
      <x:c r="M7" s="60" t="n">
        <x:v>0</x:v>
      </x:c>
      <x:c r="N7" s="60" t="n">
        <x:v>0</x:v>
      </x:c>
    </x:row>
    <x:row r="8" ht="28" customHeight="1">
      <x:c r="A8" s="39" t="inlineStr">
        <x:is>
          <x:t xml:space="preserve">Новые пользователи</x:t>
        </x:is>
      </x:c>
      <x:c r="B8" s="59" t="n">
        <x:f>SUM(C8:N8)</x:f>
        <x:v>2516.44429312</x:v>
      </x:c>
      <x:c r="C8" s="67" t="n">
        <x:f>C3/'Допущения'!$E$15</x:f>
        <x:v>0</x:v>
      </x:c>
      <x:c r="D8" s="67" t="n">
        <x:f>D3/'Допущения'!$E$15+'Допущения'!$E$16*C9*D23</x:f>
        <x:v>50</x:v>
      </x:c>
      <x:c r="E8" s="67" t="n">
        <x:f>E3/'Допущения'!$E$15+'Допущения'!$E$16*D9*E23</x:f>
        <x:v>177.5</x:v>
      </x:c>
      <x:c r="F8" s="67" t="n">
        <x:f>F3/'Допущения'!$E$15+'Допущения'!$E$16*E9*F23</x:f>
        <x:v>235.75</x:v>
      </x:c>
      <x:c r="G8" s="67" t="n">
        <x:f>G3/'Допущения'!$E$15+'Допущения'!$E$16*F9*G23</x:f>
        <x:v>294.85</x:v>
      </x:c>
      <x:c r="H8" s="67" t="n">
        <x:f>H3/'Допущения'!$E$15+'Допущения'!$E$16*G9*H23</x:f>
        <x:v>304.63</x:v>
      </x:c>
      <x:c r="I8" s="67" t="n">
        <x:f>I3/'Допущения'!$E$15+'Допущения'!$E$16*H9*I23</x:f>
        <x:v>237.454</x:v>
      </x:c>
      <x:c r="J8" s="67" t="n">
        <x:f>J3/'Допущения'!$E$15+'Допущения'!$E$16*I9*J23</x:f>
        <x:v>239.9632</x:v>
      </x:c>
      <x:c r="K8" s="67" t="n">
        <x:f>K3/'Допущения'!$E$15+'Допущения'!$E$16*J9*K23</x:f>
        <x:v>241.97056</x:v>
      </x:c>
      <x:c r="L8" s="67" t="n">
        <x:f>L3/'Допущения'!$E$15+'Допущения'!$E$16*K9*L23</x:f>
        <x:v>243.576448</x:v>
      </x:c>
      <x:c r="M8" s="67" t="n">
        <x:f>M3/'Допущения'!$E$15+'Допущения'!$E$16*L9*M23</x:f>
        <x:v>244.86115840000002</x:v>
      </x:c>
      <x:c r="N8" s="67" t="n">
        <x:f>N3/'Допущения'!$E$15+'Допущения'!$E$16*M9*N23</x:f>
        <x:v>245.88892672</x:v>
      </x:c>
    </x:row>
    <x:row r="9" ht="28" customHeight="1">
      <x:c r="A9" s="39" t="inlineStr">
        <x:is>
          <x:t xml:space="preserve">Активные пользователи</x:t>
        </x:is>
      </x:c>
      <x:c r="B9" s="59" t="n">
        <x:f>N9</x:f>
        <x:v>934.22282752</x:v>
      </x:c>
      <x:c r="C9" s="67" t="n">
        <x:f>0*'Допущения'!$E$14+C8</x:f>
        <x:v>0</x:v>
      </x:c>
      <x:c r="D9" s="67" t="n">
        <x:f>C9*'Допущения'!$E$14+D8</x:f>
        <x:v>50</x:v>
      </x:c>
      <x:c r="E9" s="67" t="n">
        <x:f>D9*'Допущения'!$E$14+E8</x:f>
        <x:v>215</x:v>
      </x:c>
      <x:c r="F9" s="67" t="n">
        <x:f>E9*'Допущения'!$E$14+F8</x:f>
        <x:v>397</x:v>
      </x:c>
      <x:c r="G9" s="67" t="n">
        <x:f>F9*'Допущения'!$E$14+G8</x:f>
        <x:v>592.6</x:v>
      </x:c>
      <x:c r="H9" s="67" t="n">
        <x:f>G9*'Допущения'!$E$14+H8</x:f>
        <x:v>749.08</x:v>
      </x:c>
      <x:c r="I9" s="67" t="n">
        <x:f>H9*'Допущения'!$E$14+I8</x:f>
        <x:v>799.2640000000001</x:v>
      </x:c>
      <x:c r="J9" s="67" t="n">
        <x:f>I9*'Допущения'!$E$14+J8</x:f>
        <x:v>839.4112000000001</x:v>
      </x:c>
      <x:c r="K9" s="67" t="n">
        <x:f>J9*'Допущения'!$E$14+K8</x:f>
        <x:v>871.5289600000001</x:v>
      </x:c>
      <x:c r="L9" s="67" t="n">
        <x:f>K9*'Допущения'!$E$14+L8</x:f>
        <x:v>897.2231680000001</x:v>
      </x:c>
      <x:c r="M9" s="67" t="n">
        <x:f>L9*'Допущения'!$E$14+M8</x:f>
        <x:v>917.7785344000001</x:v>
      </x:c>
      <x:c r="N9" s="67" t="n">
        <x:f>M9*'Допущения'!$E$14+N8</x:f>
        <x:v>934.22282752</x:v>
      </x:c>
    </x:row>
    <x:row r="10" ht="28" customHeight="1">
      <x:c r="A10" s="39" t="inlineStr">
        <x:is>
          <x:t xml:space="preserve">Заказы</x:t>
        </x:is>
      </x:c>
      <x:c r="B10" s="59" t="n">
        <x:f>SUM(C10:N10)</x:f>
        <x:v>21714.32606976</x:v>
      </x:c>
      <x:c r="C10" s="67" t="n">
        <x:f>C9*'Допущения'!$E$13*C23</x:f>
        <x:v>0</x:v>
      </x:c>
      <x:c r="D10" s="67" t="n">
        <x:f>D9*'Допущения'!$E$13*D23</x:f>
        <x:v>75</x:v>
      </x:c>
      <x:c r="E10" s="67" t="n">
        <x:f>E9*'Допущения'!$E$13*E23</x:f>
        <x:v>645</x:v>
      </x:c>
      <x:c r="F10" s="67" t="n">
        <x:f>F9*'Допущения'!$E$13*F23</x:f>
        <x:v>1191</x:v>
      </x:c>
      <x:c r="G10" s="67" t="n">
        <x:f>G9*'Допущения'!$E$13*G23</x:f>
        <x:v>1777.8000000000002</x:v>
      </x:c>
      <x:c r="H10" s="67" t="n">
        <x:f>H9*'Допущения'!$E$13*H23</x:f>
        <x:v>2247.2400000000002</x:v>
      </x:c>
      <x:c r="I10" s="67" t="n">
        <x:f>I9*'Допущения'!$E$13*I23</x:f>
        <x:v>2397.7920000000004</x:v>
      </x:c>
      <x:c r="J10" s="67" t="n">
        <x:f>J9*'Допущения'!$E$13*J23</x:f>
        <x:v>2518.2336000000005</x:v>
      </x:c>
      <x:c r="K10" s="67" t="n">
        <x:f>K9*'Допущения'!$E$13*K23</x:f>
        <x:v>2614.5868800000003</x:v>
      </x:c>
      <x:c r="L10" s="67" t="n">
        <x:f>L9*'Допущения'!$E$13*L23</x:f>
        <x:v>2691.6695040000004</x:v>
      </x:c>
      <x:c r="M10" s="67" t="n">
        <x:f>M9*'Допущения'!$E$13*M23</x:f>
        <x:v>2753.3356032</x:v>
      </x:c>
      <x:c r="N10" s="67" t="n">
        <x:f>N9*'Допущения'!$E$13*N23</x:f>
        <x:v>2802.66848256</x:v>
      </x:c>
    </x:row>
    <x:row r="11" ht="28" customHeight="1">
      <x:c r="A11" s="39" t="inlineStr">
        <x:is>
          <x:t xml:space="preserve">Оборот товаров (GMV)</x:t>
        </x:is>
      </x:c>
      <x:c r="B11" s="59" t="n">
        <x:f>SUM(C11:N11)</x:f>
        <x:v>26057191.283712</x:v>
      </x:c>
      <x:c r="C11" s="61" t="n">
        <x:f>C10*'Допущения'!$E$6</x:f>
        <x:v>0</x:v>
      </x:c>
      <x:c r="D11" s="61" t="n">
        <x:f>D10*'Допущения'!$E$6</x:f>
        <x:v>90000</x:v>
      </x:c>
      <x:c r="E11" s="61" t="n">
        <x:f>E10*'Допущения'!$E$6</x:f>
        <x:v>774000</x:v>
      </x:c>
      <x:c r="F11" s="61" t="n">
        <x:f>F10*'Допущения'!$E$6</x:f>
        <x:v>1429200</x:v>
      </x:c>
      <x:c r="G11" s="61" t="n">
        <x:f>G10*'Допущения'!$E$6</x:f>
        <x:v>2133360</x:v>
      </x:c>
      <x:c r="H11" s="61" t="n">
        <x:f>H10*'Допущения'!$E$6</x:f>
        <x:v>2696688.0000000005</x:v>
      </x:c>
      <x:c r="I11" s="61" t="n">
        <x:f>I10*'Допущения'!$E$6</x:f>
        <x:v>2877350.4000000004</x:v>
      </x:c>
      <x:c r="J11" s="61" t="n">
        <x:f>J10*'Допущения'!$E$6</x:f>
        <x:v>3021880.3200000008</x:v>
      </x:c>
      <x:c r="K11" s="61" t="n">
        <x:f>K10*'Допущения'!$E$6</x:f>
        <x:v>3137504.2560000005</x:v>
      </x:c>
      <x:c r="L11" s="61" t="n">
        <x:f>L10*'Допущения'!$E$6</x:f>
        <x:v>3230003.4048000006</x:v>
      </x:c>
      <x:c r="M11" s="61" t="n">
        <x:f>M10*'Допущения'!$E$6</x:f>
        <x:v>3304002.72384</x:v>
      </x:c>
      <x:c r="N11" s="61" t="n">
        <x:f>N10*'Допущения'!$E$6</x:f>
        <x:v>3363202.179072</x:v>
      </x:c>
    </x:row>
    <x:row r="12" ht="28" customHeight="1">
      <x:c r="A12" s="39" t="inlineStr">
        <x:is>
          <x:t xml:space="preserve">Выручка: доставка</x:t>
        </x:is>
      </x:c>
      <x:c r="B12" s="59" t="n">
        <x:f>SUM(C12:N12)</x:f>
        <x:v>1827260.5387703043</x:v>
      </x:c>
      <x:c r="C12" s="61" t="n">
        <x:f>C10*'Юнит-экономика'!$B$3</x:f>
        <x:v>0</x:v>
      </x:c>
      <x:c r="D12" s="61" t="n">
        <x:f>D10*'Юнит-экономика'!$B$3</x:f>
        <x:v>6311.249999999999</x:v>
      </x:c>
      <x:c r="E12" s="61" t="n">
        <x:f>E10*'Юнит-экономика'!$B$3</x:f>
        <x:v>54276.74999999999</x:v>
      </x:c>
      <x:c r="F12" s="61" t="n">
        <x:f>F10*'Юнит-экономика'!$B$3</x:f>
        <x:v>100222.65</x:v>
      </x:c>
      <x:c r="G12" s="61" t="n">
        <x:f>G10*'Юнит-экономика'!$B$3</x:f>
        <x:v>149601.87</x:v>
      </x:c>
      <x:c r="H12" s="61" t="n">
        <x:f>H10*'Юнит-экономика'!$B$3</x:f>
        <x:v>189105.246</x:v>
      </x:c>
      <x:c r="I12" s="61" t="n">
        <x:f>I10*'Юнит-экономика'!$B$3</x:f>
        <x:v>201774.1968</x:v>
      </x:c>
      <x:c r="J12" s="61" t="n">
        <x:f>J10*'Юнит-экономика'!$B$3</x:f>
        <x:v>211909.35744000002</x:v>
      </x:c>
      <x:c r="K12" s="61" t="n">
        <x:f>K10*'Юнит-экономика'!$B$3</x:f>
        <x:v>220017.485952</x:v>
      </x:c>
      <x:c r="L12" s="61" t="n">
        <x:f>L10*'Юнит-экономика'!$B$3</x:f>
        <x:v>226503.98876160002</x:v>
      </x:c>
      <x:c r="M12" s="61" t="n">
        <x:f>M10*'Юнит-экономика'!$B$3</x:f>
        <x:v>231693.19100927998</x:v>
      </x:c>
      <x:c r="N12" s="61" t="n">
        <x:f>N10*'Юнит-экономика'!$B$3</x:f>
        <x:v>235844.55280742398</x:v>
      </x:c>
    </x:row>
    <x:row r="13" ht="28" customHeight="1">
      <x:c r="A13" s="39" t="inlineStr">
        <x:is>
          <x:t xml:space="preserve">Выручка: комиссия</x:t>
        </x:is>
      </x:c>
      <x:c r="B13" s="59" t="n">
        <x:f>SUM(C13:N13)</x:f>
        <x:v>2605719.1283712</x:v>
      </x:c>
      <x:c r="C13" s="61" t="n">
        <x:f>C10*'Юнит-экономика'!$B$4</x:f>
        <x:v>0</x:v>
      </x:c>
      <x:c r="D13" s="61" t="n">
        <x:f>D10*'Юнит-экономика'!$B$4</x:f>
        <x:v>9000</x:v>
      </x:c>
      <x:c r="E13" s="61" t="n">
        <x:f>E10*'Юнит-экономика'!$B$4</x:f>
        <x:v>77400</x:v>
      </x:c>
      <x:c r="F13" s="61" t="n">
        <x:f>F10*'Юнит-экономика'!$B$4</x:f>
        <x:v>142920</x:v>
      </x:c>
      <x:c r="G13" s="61" t="n">
        <x:f>G10*'Юнит-экономика'!$B$4</x:f>
        <x:v>213336.00000000003</x:v>
      </x:c>
      <x:c r="H13" s="61" t="n">
        <x:f>H10*'Юнит-экономика'!$B$4</x:f>
        <x:v>269668.80000000005</x:v>
      </x:c>
      <x:c r="I13" s="61" t="n">
        <x:f>I10*'Юнит-экономика'!$B$4</x:f>
        <x:v>287735.04000000004</x:v>
      </x:c>
      <x:c r="J13" s="61" t="n">
        <x:f>J10*'Юнит-экономика'!$B$4</x:f>
        <x:v>302188.03200000006</x:v>
      </x:c>
      <x:c r="K13" s="61" t="n">
        <x:f>K10*'Юнит-экономика'!$B$4</x:f>
        <x:v>313750.4256</x:v>
      </x:c>
      <x:c r="L13" s="61" t="n">
        <x:f>L10*'Юнит-экономика'!$B$4</x:f>
        <x:v>323000.3404800001</x:v>
      </x:c>
      <x:c r="M13" s="61" t="n">
        <x:f>M10*'Юнит-экономика'!$B$4</x:f>
        <x:v>330400.272384</x:v>
      </x:c>
      <x:c r="N13" s="61" t="n">
        <x:f>N10*'Юнит-экономика'!$B$4</x:f>
        <x:v>336320.2179072</x:v>
      </x:c>
    </x:row>
    <x:row r="14" ht="28" customHeight="1">
      <x:c r="A14" s="57" t="inlineStr">
        <x:is>
          <x:t xml:space="preserve">Выручка итого</x:t>
        </x:is>
      </x:c>
      <x:c r="B14" s="62" t="n">
        <x:f>SUM(C14:N14)</x:f>
        <x:v>4432979.667141505</x:v>
      </x:c>
      <x:c r="C14" s="63" t="n">
        <x:f>C12+C13</x:f>
        <x:v>0</x:v>
      </x:c>
      <x:c r="D14" s="63" t="n">
        <x:f>D12+D13</x:f>
        <x:v>15311.25</x:v>
      </x:c>
      <x:c r="E14" s="63" t="n">
        <x:f>E12+E13</x:f>
        <x:v>131676.75</x:v>
      </x:c>
      <x:c r="F14" s="63" t="n">
        <x:f>F12+F13</x:f>
        <x:v>243142.65</x:v>
      </x:c>
      <x:c r="G14" s="63" t="n">
        <x:f>G12+G13</x:f>
        <x:v>362937.87</x:v>
      </x:c>
      <x:c r="H14" s="63" t="n">
        <x:f>H12+H13</x:f>
        <x:v>458774.0460000001</x:v>
      </x:c>
      <x:c r="I14" s="63" t="n">
        <x:f>I12+I13</x:f>
        <x:v>489509.2368000001</x:v>
      </x:c>
      <x:c r="J14" s="63" t="n">
        <x:f>J12+J13</x:f>
        <x:v>514097.38944000006</x:v>
      </x:c>
      <x:c r="K14" s="63" t="n">
        <x:f>K12+K13</x:f>
        <x:v>533767.911552</x:v>
      </x:c>
      <x:c r="L14" s="63" t="n">
        <x:f>L12+L13</x:f>
        <x:v>549504.3292416001</x:v>
      </x:c>
      <x:c r="M14" s="63" t="n">
        <x:f>M12+M13</x:f>
        <x:v>562093.46339328</x:v>
      </x:c>
      <x:c r="N14" s="63" t="n">
        <x:f>N12+N13</x:f>
        <x:v>572164.770714624</x:v>
      </x:c>
    </x:row>
    <x:row r="15" ht="28" customHeight="1">
      <x:c r="A15" s="39" t="inlineStr">
        <x:is>
          <x:t xml:space="preserve">Курьеры</x:t>
        </x:is>
      </x:c>
      <x:c r="B15" s="59" t="n">
        <x:f>SUM(C15:N15)</x:f>
        <x:v>2171432.606976</x:v>
      </x:c>
      <x:c r="C15" s="61" t="n">
        <x:f>C10*'Допущения'!$E$11</x:f>
        <x:v>0</x:v>
      </x:c>
      <x:c r="D15" s="61" t="n">
        <x:f>D10*'Допущения'!$E$11</x:f>
        <x:v>7500</x:v>
      </x:c>
      <x:c r="E15" s="61" t="n">
        <x:f>E10*'Допущения'!$E$11</x:f>
        <x:v>64500</x:v>
      </x:c>
      <x:c r="F15" s="61" t="n">
        <x:f>F10*'Допущения'!$E$11</x:f>
        <x:v>119100</x:v>
      </x:c>
      <x:c r="G15" s="61" t="n">
        <x:f>G10*'Допущения'!$E$11</x:f>
        <x:v>177780.00000000003</x:v>
      </x:c>
      <x:c r="H15" s="61" t="n">
        <x:f>H10*'Допущения'!$E$11</x:f>
        <x:v>224724.00000000003</x:v>
      </x:c>
      <x:c r="I15" s="61" t="n">
        <x:f>I10*'Допущения'!$E$11</x:f>
        <x:v>239779.20000000004</x:v>
      </x:c>
      <x:c r="J15" s="61" t="n">
        <x:f>J10*'Допущения'!$E$11</x:f>
        <x:v>251823.36000000004</x:v>
      </x:c>
      <x:c r="K15" s="61" t="n">
        <x:f>K10*'Допущения'!$E$11</x:f>
        <x:v>261458.68800000002</x:v>
      </x:c>
      <x:c r="L15" s="61" t="n">
        <x:f>L10*'Допущения'!$E$11</x:f>
        <x:v>269166.95040000003</x:v>
      </x:c>
      <x:c r="M15" s="61" t="n">
        <x:f>M10*'Допущения'!$E$11</x:f>
        <x:v>275333.56032</x:v>
      </x:c>
      <x:c r="N15" s="61" t="n">
        <x:f>N10*'Допущения'!$E$11</x:f>
        <x:v>280266.848256</x:v>
      </x:c>
    </x:row>
    <x:row r="16" ht="28" customHeight="1">
      <x:c r="A16" s="39" t="str">
        <x:v>ИИ на заказ (переменная часть)</x:v>
      </x:c>
      <x:c r="B16" s="59" t="n">
        <x:f>SUM(C16:N16)</x:f>
        <x:v>65142.97820928</x:v>
      </x:c>
      <x:c r="C16" s="61" t="n">
        <x:f>C10*'Допущения'!$E$12</x:f>
        <x:v>0</x:v>
      </x:c>
      <x:c r="D16" s="61" t="n">
        <x:f>D10*'Допущения'!$E$12</x:f>
        <x:v>225</x:v>
      </x:c>
      <x:c r="E16" s="61" t="n">
        <x:f>E10*'Допущения'!$E$12</x:f>
        <x:v>1935</x:v>
      </x:c>
      <x:c r="F16" s="61" t="n">
        <x:f>F10*'Допущения'!$E$12</x:f>
        <x:v>3573</x:v>
      </x:c>
      <x:c r="G16" s="61" t="n">
        <x:f>G10*'Допущения'!$E$12</x:f>
        <x:v>5333.400000000001</x:v>
      </x:c>
      <x:c r="H16" s="61" t="n">
        <x:f>H10*'Допущения'!$E$12</x:f>
        <x:v>6741.720000000001</x:v>
      </x:c>
      <x:c r="I16" s="61" t="n">
        <x:f>I10*'Допущения'!$E$12</x:f>
        <x:v>7193.376000000001</x:v>
      </x:c>
      <x:c r="J16" s="61" t="n">
        <x:f>J10*'Допущения'!$E$12</x:f>
        <x:v>7554.700800000001</x:v>
      </x:c>
      <x:c r="K16" s="61" t="n">
        <x:f>K10*'Допущения'!$E$12</x:f>
        <x:v>7843.76064</x:v>
      </x:c>
      <x:c r="L16" s="61" t="n">
        <x:f>L10*'Допущения'!$E$12</x:f>
        <x:v>8075.008512000001</x:v>
      </x:c>
      <x:c r="M16" s="61" t="n">
        <x:f>M10*'Допущения'!$E$12</x:f>
        <x:v>8260.0068096</x:v>
      </x:c>
      <x:c r="N16" s="61" t="n">
        <x:f>N10*'Допущения'!$E$12</x:f>
        <x:v>8408.00544768</x:v>
      </x:c>
    </x:row>
    <x:row r="17" ht="28" customHeight="1">
      <x:c r="A17" s="39" t="inlineStr">
        <x:is>
          <x:t xml:space="preserve">Эквайринг</x:t>
        </x:is>
      </x:c>
      <x:c r="B17" s="59" t="n">
        <x:f>SUM(C17:N17)</x:f>
        <x:v>697111.2955620578</x:v>
      </x:c>
      <x:c r="C17" s="61" t="n">
        <x:f>C10*'Юнит-экономика'!$B$8</x:f>
        <x:v>0</x:v>
      </x:c>
      <x:c r="D17" s="61" t="n">
        <x:f>D10*'Юнит-экономика'!$B$8</x:f>
        <x:v>2407.7812500000005</x:v>
      </x:c>
      <x:c r="E17" s="61" t="n">
        <x:f>E10*'Юнит-экономика'!$B$8</x:f>
        <x:v>20706.918750000004</x:v>
      </x:c>
      <x:c r="F17" s="61" t="n">
        <x:f>F10*'Юнит-экономика'!$B$8</x:f>
        <x:v>38235.56625</x:v>
      </x:c>
      <x:c r="G17" s="61" t="n">
        <x:f>G10*'Юнит-экономика'!$B$8</x:f>
        <x:v>57074.046750000016</x:v>
      </x:c>
      <x:c r="H17" s="61" t="n">
        <x:f>H10*'Юнит-экономика'!$B$8</x:f>
        <x:v>72144.83115000001</x:v>
      </x:c>
      <x:c r="I17" s="61" t="n">
        <x:f>I10*'Юнит-экономика'!$B$8</x:f>
        <x:v>76978.11492000002</x:v>
      </x:c>
      <x:c r="J17" s="61" t="n">
        <x:f>J10*'Юнит-экономика'!$B$8</x:f>
        <x:v>80844.74193600003</x:v>
      </x:c>
      <x:c r="K17" s="61" t="n">
        <x:f>K10*'Юнит-экономика'!$B$8</x:f>
        <x:v>83938.04354880002</x:v>
      </x:c>
      <x:c r="L17" s="61" t="n">
        <x:f>L10*'Юнит-экономика'!$B$8</x:f>
        <x:v>86412.68483904003</x:v>
      </x:c>
      <x:c r="M17" s="61" t="n">
        <x:f>M10*'Юнит-экономика'!$B$8</x:f>
        <x:v>88392.39787123202</x:v>
      </x:c>
      <x:c r="N17" s="61" t="n">
        <x:f>N10*'Юнит-экономика'!$B$8</x:f>
        <x:v>89976.16829698562</x:v>
      </x:c>
    </x:row>
    <x:row r="18" ht="28" customHeight="1">
      <x:c r="A18" s="57" t="inlineStr">
        <x:is>
          <x:t xml:space="preserve">Маржа после перем. расходов</x:t>
        </x:is>
      </x:c>
      <x:c r="B18" s="62" t="n">
        <x:f>SUM(C18:N18)</x:f>
        <x:v>1499292.7863941663</x:v>
      </x:c>
      <x:c r="C18" s="63" t="n">
        <x:f>C14-C15-C16-C17</x:f>
        <x:v>0</x:v>
      </x:c>
      <x:c r="D18" s="63" t="n">
        <x:f>D14-D15-D16-D17</x:f>
        <x:v>5178.46875</x:v>
      </x:c>
      <x:c r="E18" s="63" t="n">
        <x:f>E14-E15-E16-E17</x:f>
        <x:v>44534.831249999996</x:v>
      </x:c>
      <x:c r="F18" s="63" t="n">
        <x:f>F14-F15-F16-F17</x:f>
        <x:v>82234.08374999999</x:v>
      </x:c>
      <x:c r="G18" s="63" t="n">
        <x:f>G14-G15-G16-G17</x:f>
        <x:v>122750.42324999996</x:v>
      </x:c>
      <x:c r="H18" s="63" t="n">
        <x:f>H14-H15-H16-H17</x:f>
        <x:v>155163.49485000005</x:v>
      </x:c>
      <x:c r="I18" s="63" t="n">
        <x:f>I14-I15-I16-I17</x:f>
        <x:v>165558.54588000002</x:v>
      </x:c>
      <x:c r="J18" s="63" t="n">
        <x:f>J14-J15-J16-J17</x:f>
        <x:v>173874.586704</x:v>
      </x:c>
      <x:c r="K18" s="63" t="n">
        <x:f>K14-K15-K16-K17</x:f>
        <x:v>180527.41936319994</x:v>
      </x:c>
      <x:c r="L18" s="63" t="n">
        <x:f>L14-L15-L16-L17</x:f>
        <x:v>185849.68549056002</x:v>
      </x:c>
      <x:c r="M18" s="63" t="n">
        <x:f>M14-M15-M16-M17</x:f>
        <x:v>190107.49839244806</x:v>
      </x:c>
      <x:c r="N18" s="63" t="n">
        <x:f>N14-N15-N16-N17</x:f>
        <x:v>193513.7487139583</x:v>
      </x:c>
    </x:row>
    <x:row r="19" ht="28" customHeight="1">
      <x:c r="A19" s="39" t="inlineStr">
        <x:is>
          <x:t xml:space="preserve">Постоянные расходы и инвестиции</x:t>
        </x:is>
      </x:c>
      <x:c r="B19" s="59" t="n">
        <x:f>SUM(C19:N19)</x:f>
        <x:v>710000</x:v>
      </x:c>
      <x:c r="C19" s="61" t="n">
        <x:f>SUM(C3:C7)</x:f>
        <x:v>65000</x:v>
      </x:c>
      <x:c r="D19" s="61" t="n">
        <x:f>SUM(D3:D7)</x:f>
        <x:v>95000</x:v>
      </x:c>
      <x:c r="E19" s="61" t="n">
        <x:f>SUM(E3:E7)</x:f>
        <x:v>90000</x:v>
      </x:c>
      <x:c r="F19" s="61" t="n">
        <x:f>SUM(F3:F7)</x:f>
        <x:v>60000</x:v>
      </x:c>
      <x:c r="G19" s="61" t="n">
        <x:f>SUM(G3:G7)</x:f>
        <x:v>65000</x:v>
      </x:c>
      <x:c r="H19" s="61" t="n">
        <x:f>SUM(H3:H7)</x:f>
        <x:v>65000</x:v>
      </x:c>
      <x:c r="I19" s="61" t="n">
        <x:f>SUM(I3:I7)</x:f>
        <x:v>45000</x:v>
      </x:c>
      <x:c r="J19" s="61" t="n">
        <x:f>SUM(J3:J7)</x:f>
        <x:v>45000</x:v>
      </x:c>
      <x:c r="K19" s="61" t="n">
        <x:f>SUM(K3:K7)</x:f>
        <x:v>45000</x:v>
      </x:c>
      <x:c r="L19" s="61" t="n">
        <x:f>SUM(L3:L7)</x:f>
        <x:v>45000</x:v>
      </x:c>
      <x:c r="M19" s="61" t="n">
        <x:f>SUM(M3:M7)</x:f>
        <x:v>45000</x:v>
      </x:c>
      <x:c r="N19" s="61" t="n">
        <x:f>SUM(N3:N7)</x:f>
        <x:v>45000</x:v>
      </x:c>
    </x:row>
    <x:row r="20" ht="28" customHeight="1">
      <x:c r="A20" s="57" t="str">
        <x:v>Результат до налогов и возвратов</x:v>
      </x:c>
      <x:c r="B20" s="62" t="n">
        <x:f>SUM(C20:N20)</x:f>
        <x:v>789292.7863941663</x:v>
      </x:c>
      <x:c r="C20" s="63" t="n">
        <x:f>C18-C19</x:f>
        <x:v>-65000</x:v>
      </x:c>
      <x:c r="D20" s="63" t="n">
        <x:f>D18-D19</x:f>
        <x:v>-89821.53125</x:v>
      </x:c>
      <x:c r="E20" s="63" t="n">
        <x:f>E18-E19</x:f>
        <x:v>-45465.168750000004</x:v>
      </x:c>
      <x:c r="F20" s="63" t="n">
        <x:f>F18-F19</x:f>
        <x:v>22234.08374999999</x:v>
      </x:c>
      <x:c r="G20" s="63" t="n">
        <x:f>G18-G19</x:f>
        <x:v>57750.42324999996</x:v>
      </x:c>
      <x:c r="H20" s="63" t="n">
        <x:f>H18-H19</x:f>
        <x:v>90163.49485000005</x:v>
      </x:c>
      <x:c r="I20" s="63" t="n">
        <x:f>I18-I19</x:f>
        <x:v>120558.54588000002</x:v>
      </x:c>
      <x:c r="J20" s="63" t="n">
        <x:f>J18-J19</x:f>
        <x:v>128874.58670399999</x:v>
      </x:c>
      <x:c r="K20" s="63" t="n">
        <x:f>K18-K19</x:f>
        <x:v>135527.41936319994</x:v>
      </x:c>
      <x:c r="L20" s="63" t="n">
        <x:f>L18-L19</x:f>
        <x:v>140849.68549056002</x:v>
      </x:c>
      <x:c r="M20" s="63" t="n">
        <x:f>M18-M19</x:f>
        <x:v>145107.49839244806</x:v>
      </x:c>
      <x:c r="N20" s="63" t="n">
        <x:f>N18-N19</x:f>
        <x:v>148513.7487139583</x:v>
      </x:c>
    </x:row>
    <x:row r="21" ht="28" customHeight="1">
      <x:c r="A21" s="57" t="inlineStr">
        <x:is>
          <x:t xml:space="preserve">Деньги на конец месяца</x:t>
        </x:is>
      </x:c>
      <x:c r="B21" s="62" t="n">
        <x:f>N21</x:f>
        <x:v>1289292.7863941663</x:v>
      </x:c>
      <x:c r="C21" s="63" t="n">
        <x:f>'Допущения'!$E$18+C20</x:f>
        <x:v>435000</x:v>
      </x:c>
      <x:c r="D21" s="63" t="n">
        <x:f>C21+D20</x:f>
        <x:v>345178.46875</x:v>
      </x:c>
      <x:c r="E21" s="63" t="n">
        <x:f>D21+E20</x:f>
        <x:v>299713.3</x:v>
      </x:c>
      <x:c r="F21" s="63" t="n">
        <x:f>E21+F20</x:f>
        <x:v>321947.38375</x:v>
      </x:c>
      <x:c r="G21" s="63" t="n">
        <x:f>F21+G20</x:f>
        <x:v>379697.8069999999</x:v>
      </x:c>
      <x:c r="H21" s="63" t="n">
        <x:f>G21+H20</x:f>
        <x:v>469861.30184999993</x:v>
      </x:c>
      <x:c r="I21" s="63" t="n">
        <x:f>H21+I20</x:f>
        <x:v>590419.8477299999</x:v>
      </x:c>
      <x:c r="J21" s="63" t="n">
        <x:f>I21+J20</x:f>
        <x:v>719294.4344339999</x:v>
      </x:c>
      <x:c r="K21" s="63" t="n">
        <x:f>J21+K20</x:f>
        <x:v>854821.8537971999</x:v>
      </x:c>
      <x:c r="L21" s="63" t="n">
        <x:f>K21+L20</x:f>
        <x:v>995671.5392877599</x:v>
      </x:c>
      <x:c r="M21" s="63" t="n">
        <x:f>L21+M20</x:f>
        <x:v>1140779.037680208</x:v>
      </x:c>
      <x:c r="N21" s="63" t="n">
        <x:f>M21+N20</x:f>
        <x:v>1289292.7863941663</x:v>
      </x:c>
    </x:row>
    <x:row r="22" ht="28" customHeight="1">
      <x:c r="A22" s="39" t="inlineStr">
        <x:is>
          <x:t xml:space="preserve">Нужно курьеров</x:t>
        </x:is>
      </x:c>
      <x:c r="B22" s="34" t="n">
        <x:f>N22</x:f>
        <x:v>5</x:v>
      </x:c>
      <x:c r="C22" s="68" t="n">
        <x:f>IF(C23=0,0,MAX(2,ROUNDUP(C10/'Допущения'!$E$17,0)))</x:f>
        <x:v>0</x:v>
      </x:c>
      <x:c r="D22" s="68" t="n">
        <x:f>IF(D23=0,0,MAX(2,ROUNDUP(D10/'Допущения'!$E$17,0)))</x:f>
        <x:v>2</x:v>
      </x:c>
      <x:c r="E22" s="68" t="n">
        <x:f>IF(E23=0,0,MAX(2,ROUNDUP(E10/'Допущения'!$E$17,0)))</x:f>
        <x:v>2</x:v>
      </x:c>
      <x:c r="F22" s="68" t="n">
        <x:f>IF(F23=0,0,MAX(2,ROUNDUP(F10/'Допущения'!$E$17,0)))</x:f>
        <x:v>2</x:v>
      </x:c>
      <x:c r="G22" s="68" t="n">
        <x:f>IF(G23=0,0,MAX(2,ROUNDUP(G10/'Допущения'!$E$17,0)))</x:f>
        <x:v>3</x:v>
      </x:c>
      <x:c r="H22" s="68" t="n">
        <x:f>IF(H23=0,0,MAX(2,ROUNDUP(H10/'Допущения'!$E$17,0)))</x:f>
        <x:v>4</x:v>
      </x:c>
      <x:c r="I22" s="68" t="n">
        <x:f>IF(I23=0,0,MAX(2,ROUNDUP(I10/'Допущения'!$E$17,0)))</x:f>
        <x:v>4</x:v>
      </x:c>
      <x:c r="J22" s="68" t="n">
        <x:f>IF(J23=0,0,MAX(2,ROUNDUP(J10/'Допущения'!$E$17,0)))</x:f>
        <x:v>4</x:v>
      </x:c>
      <x:c r="K22" s="68" t="n">
        <x:f>IF(K23=0,0,MAX(2,ROUNDUP(K10/'Допущения'!$E$17,0)))</x:f>
        <x:v>5</x:v>
      </x:c>
      <x:c r="L22" s="68" t="n">
        <x:f>IF(L23=0,0,MAX(2,ROUNDUP(L10/'Допущения'!$E$17,0)))</x:f>
        <x:v>5</x:v>
      </x:c>
      <x:c r="M22" s="68" t="n">
        <x:f>IF(M23=0,0,MAX(2,ROUNDUP(M10/'Допущения'!$E$17,0)))</x:f>
        <x:v>5</x:v>
      </x:c>
      <x:c r="N22" s="68" t="n">
        <x:f>IF(N23=0,0,MAX(2,ROUNDUP(N10/'Допущения'!$E$17,0)))</x:f>
        <x:v>5</x:v>
      </x:c>
    </x:row>
    <x:row r="23" ht="28" customHeight="1">
      <x:c r="A23" s="39" t="str">
        <x:v>Доля месяца с продажами</x:v>
      </x:c>
      <x:c r="B23" s="23" t="n"/>
      <x:c r="C23" s="66" t="n">
        <x:v>0</x:v>
      </x:c>
      <x:c r="D23" s="66" t="n">
        <x:v>0.5</x:v>
      </x:c>
      <x:c r="E23" s="66" t="n">
        <x:v>1</x:v>
      </x:c>
      <x:c r="F23" s="66" t="n">
        <x:v>1</x:v>
      </x:c>
      <x:c r="G23" s="66" t="n">
        <x:v>1</x:v>
      </x:c>
      <x:c r="H23" s="66" t="n">
        <x:v>1</x:v>
      </x:c>
      <x:c r="I23" s="66" t="n">
        <x:v>1</x:v>
      </x:c>
      <x:c r="J23" s="66" t="n">
        <x:v>1</x:v>
      </x:c>
      <x:c r="K23" s="66" t="n">
        <x:v>1</x:v>
      </x:c>
      <x:c r="L23" s="66" t="n">
        <x:v>1</x:v>
      </x:c>
      <x:c r="M23" s="66" t="n">
        <x:v>1</x:v>
      </x:c>
      <x:c r="N23" s="66" t="n">
        <x:v>1</x:v>
      </x:c>
    </x:row>
    <x:row r="24" ht="28" customHeight="1">
      <x:c r="A24" s="58" t="inlineStr">
        <x:is>
          <x:t xml:space="preserve">Итоги</x:t>
        </x:is>
      </x:c>
      <x:c r="B24" s="23" t="n"/>
      <x:c r="C24" s="23" t="n"/>
      <x:c r="D24" s="23" t="n"/>
      <x:c r="E24" s="23" t="n"/>
      <x:c r="F24" s="23" t="n"/>
      <x:c r="G24" s="23" t="n"/>
      <x:c r="H24" s="23" t="n"/>
      <x:c r="I24" s="23" t="n"/>
      <x:c r="J24" s="23" t="n"/>
      <x:c r="K24" s="23" t="n"/>
      <x:c r="L24" s="23" t="n"/>
      <x:c r="M24" s="23" t="n"/>
      <x:c r="N24" s="23" t="n"/>
    </x:row>
    <x:row r="25" ht="28" customHeight="1">
      <x:c r="A25" s="39" t="str">
        <x:v>Расходы из бюджета за М1–М6</x:v>
      </x:c>
      <x:c r="B25" s="59" t="n">
        <x:f>SUM(C19:H19)</x:f>
        <x:v>440000</x:v>
      </x:c>
      <x:c r="C25" s="23" t="n"/>
      <x:c r="D25" s="23" t="n"/>
      <x:c r="E25" s="23" t="n"/>
      <x:c r="F25" s="23" t="n"/>
      <x:c r="G25" s="23" t="n"/>
      <x:c r="H25" s="23" t="n"/>
      <x:c r="I25" s="23" t="n"/>
      <x:c r="J25" s="23" t="n"/>
      <x:c r="K25" s="23" t="n"/>
      <x:c r="L25" s="23" t="n"/>
      <x:c r="M25" s="23" t="n"/>
      <x:c r="N25" s="23" t="n"/>
    </x:row>
    <x:row r="26" ht="28" customHeight="1">
      <x:c r="A26" s="39" t="inlineStr">
        <x:is>
          <x:t xml:space="preserve">Минимум денег на счёте за 12 мес</x:t>
        </x:is>
      </x:c>
      <x:c r="B26" s="59" t="n">
        <x:f>MIN(C21:N21)</x:f>
        <x:v>299713.3</x:v>
      </x:c>
      <x:c r="C26" s="23" t="n"/>
      <x:c r="D26" s="23" t="n"/>
      <x:c r="E26" s="23" t="n"/>
      <x:c r="F26" s="23" t="n"/>
      <x:c r="G26" s="23" t="n"/>
      <x:c r="H26" s="23" t="n"/>
      <x:c r="I26" s="23" t="n"/>
      <x:c r="J26" s="23" t="n"/>
      <x:c r="K26" s="23" t="n"/>
      <x:c r="L26" s="23" t="n"/>
      <x:c r="M26" s="23" t="n"/>
      <x:c r="N26" s="23" t="n"/>
    </x:row>
    <x:row r="27" ht="28" customHeight="1">
      <x:c r="A27" s="39" t="inlineStr">
        <x:is>
          <x:t xml:space="preserve">Деньги на конец М6</x:t>
        </x:is>
      </x:c>
      <x:c r="B27" s="59" t="n">
        <x:f>H21</x:f>
        <x:v>469861.30184999993</x:v>
      </x:c>
      <x:c r="C27" s="23" t="n"/>
      <x:c r="D27" s="23" t="n"/>
      <x:c r="E27" s="23" t="n"/>
      <x:c r="F27" s="23" t="n"/>
      <x:c r="G27" s="23" t="n"/>
      <x:c r="H27" s="23" t="n"/>
      <x:c r="I27" s="23" t="n"/>
      <x:c r="J27" s="23" t="n"/>
      <x:c r="K27" s="23" t="n"/>
      <x:c r="L27" s="23" t="n"/>
      <x:c r="M27" s="23" t="n"/>
      <x:c r="N27" s="23" t="n"/>
    </x:row>
    <x:row r="28" ht="28" customHeight="1">
      <x:c r="A28" s="39" t="str">
        <x:v>Первый месяц с положительным результатом</x:v>
      </x:c>
      <x:c r="B28" s="64" t="n">
        <x:f>IF(SUM(C34:N34)=0,"нет за 12 мес",MATCH(1,C34:N34,0))</x:f>
        <x:v>4</x:v>
      </x:c>
      <x:c r="C28" s="23" t="n"/>
      <x:c r="D28" s="23" t="n"/>
      <x:c r="E28" s="23" t="n"/>
      <x:c r="F28" s="23" t="n"/>
      <x:c r="G28" s="23" t="n"/>
      <x:c r="H28" s="23" t="n"/>
      <x:c r="I28" s="23" t="n"/>
      <x:c r="J28" s="23" t="n"/>
      <x:c r="K28" s="23" t="n"/>
      <x:c r="L28" s="23" t="n"/>
      <x:c r="M28" s="23" t="n"/>
      <x:c r="N28" s="23" t="n"/>
    </x:row>
    <x:row r="29" ht="28" customHeight="1">
      <x:c r="A29" s="39" t="str">
        <x:v>Накопленный результат ≥0: месяц</x:v>
      </x:c>
      <x:c r="B29" s="64" t="n">
        <x:f>IF(SUM(C35:N35)=0,"нет за 12 мес",MATCH(1,C35:N35,0))</x:f>
        <x:v>7</x:v>
      </x:c>
      <x:c r="C29" s="23" t="n"/>
      <x:c r="D29" s="23" t="n"/>
      <x:c r="E29" s="23" t="n"/>
      <x:c r="F29" s="23" t="n"/>
      <x:c r="G29" s="23" t="n"/>
      <x:c r="H29" s="23" t="n"/>
      <x:c r="I29" s="23" t="n"/>
      <x:c r="J29" s="23" t="n"/>
      <x:c r="K29" s="23" t="n"/>
      <x:c r="L29" s="23" t="n"/>
      <x:c r="M29" s="23" t="n"/>
      <x:c r="N29" s="23" t="n"/>
    </x:row>
    <x:row r="30" ht="28" customHeight="1">
      <x:c r="A30" s="39" t="inlineStr">
        <x:is>
          <x:t xml:space="preserve">Активных пользователей к М6</x:t>
        </x:is>
      </x:c>
      <x:c r="B30" s="59" t="n">
        <x:f>H9</x:f>
        <x:v>749.08</x:v>
      </x:c>
      <x:c r="C30" s="23" t="n"/>
      <x:c r="D30" s="23" t="n"/>
      <x:c r="E30" s="23" t="n"/>
      <x:c r="F30" s="23" t="n"/>
      <x:c r="G30" s="23" t="n"/>
      <x:c r="H30" s="23" t="n"/>
      <x:c r="I30" s="23" t="n"/>
      <x:c r="J30" s="23" t="n"/>
      <x:c r="K30" s="23" t="n"/>
      <x:c r="L30" s="23" t="n"/>
      <x:c r="M30" s="23" t="n"/>
      <x:c r="N30" s="23" t="n"/>
    </x:row>
    <x:row r="31" ht="28" customHeight="1">
      <x:c r="A31" s="39" t="inlineStr">
        <x:is>
          <x:t xml:space="preserve">Выручка за 12 мес</x:t>
        </x:is>
      </x:c>
      <x:c r="B31" s="59" t="n">
        <x:f>B14</x:f>
        <x:v>4432979.667141505</x:v>
      </x:c>
      <x:c r="C31" s="23" t="n"/>
      <x:c r="D31" s="23" t="n"/>
      <x:c r="E31" s="23" t="n"/>
      <x:c r="F31" s="23" t="n"/>
      <x:c r="G31" s="23" t="n"/>
      <x:c r="H31" s="23" t="n"/>
      <x:c r="I31" s="23" t="n"/>
      <x:c r="J31" s="23" t="n"/>
      <x:c r="K31" s="23" t="n"/>
      <x:c r="L31" s="23" t="n"/>
      <x:c r="M31" s="23" t="n"/>
      <x:c r="N31" s="23" t="n"/>
    </x:row>
    <x:row r="32" ht="28" customHeight="1">
      <x:c r="A32" s="48" t="str">
        <x:v>План привлечения ниже; массовые траты зависят от пилота.</x:v>
      </x:c>
    </x:row>
    <x:row r="33" ht="28" customHeight="1">
      <x:c r="A33" s="48" t="str">
        <x:v>План привлечения до проверки пилота</x:v>
      </x:c>
      <x:c r="C33" s="70" t="n">
        <x:v>0</x:v>
      </x:c>
      <x:c r="D33" s="70" t="n">
        <x:v>10000</x:v>
      </x:c>
      <x:c r="E33" s="70" t="n">
        <x:v>35000</x:v>
      </x:c>
      <x:c r="F33" s="70" t="n">
        <x:v>45000</x:v>
      </x:c>
      <x:c r="G33" s="70" t="n">
        <x:v>55000</x:v>
      </x:c>
      <x:c r="H33" s="70" t="n">
        <x:v>55000</x:v>
      </x:c>
      <x:c r="I33" s="70" t="n">
        <x:v>40000</x:v>
      </x:c>
      <x:c r="J33" s="70" t="n">
        <x:v>40000</x:v>
      </x:c>
      <x:c r="K33" s="70" t="n">
        <x:v>40000</x:v>
      </x:c>
      <x:c r="L33" s="70" t="n">
        <x:v>40000</x:v>
      </x:c>
      <x:c r="M33" s="70" t="n">
        <x:v>40000</x:v>
      </x:c>
      <x:c r="N33" s="70" t="n">
        <x:v>40000</x:v>
      </x:c>
    </x:row>
    <x:row r="34" ht="28" customHeight="1">
      <x:c r="A34" s="71" t="str">
        <x:v>Месяц с положительным результатом: 1 / 0</x:v>
      </x:c>
      <x:c r="B34" s="72"/>
      <x:c r="C34" s="72" t="n">
        <x:f>IF(C20&gt;0,1,0)</x:f>
        <x:v>0</x:v>
      </x:c>
      <x:c r="D34" s="72" t="n">
        <x:f>IF(D20&gt;0,1,0)</x:f>
        <x:v>0</x:v>
      </x:c>
      <x:c r="E34" s="72" t="n">
        <x:f>IF(E20&gt;0,1,0)</x:f>
        <x:v>0</x:v>
      </x:c>
      <x:c r="F34" s="72" t="n">
        <x:f>IF(F20&gt;0,1,0)</x:f>
        <x:v>1</x:v>
      </x:c>
      <x:c r="G34" s="72" t="n">
        <x:f>IF(G20&gt;0,1,0)</x:f>
        <x:v>1</x:v>
      </x:c>
      <x:c r="H34" s="72" t="n">
        <x:f>IF(H20&gt;0,1,0)</x:f>
        <x:v>1</x:v>
      </x:c>
      <x:c r="I34" s="72" t="n">
        <x:f>IF(I20&gt;0,1,0)</x:f>
        <x:v>1</x:v>
      </x:c>
      <x:c r="J34" s="72" t="n">
        <x:f>IF(J20&gt;0,1,0)</x:f>
        <x:v>1</x:v>
      </x:c>
      <x:c r="K34" s="72" t="n">
        <x:f>IF(K20&gt;0,1,0)</x:f>
        <x:v>1</x:v>
      </x:c>
      <x:c r="L34" s="72" t="n">
        <x:f>IF(L20&gt;0,1,0)</x:f>
        <x:v>1</x:v>
      </x:c>
      <x:c r="M34" s="72" t="n">
        <x:f>IF(M20&gt;0,1,0)</x:f>
        <x:v>1</x:v>
      </x:c>
      <x:c r="N34" s="72" t="n">
        <x:f>IF(N20&gt;0,1,0)</x:f>
        <x:v>1</x:v>
      </x:c>
    </x:row>
    <x:row r="35" ht="28" customHeight="1">
      <x:c r="A35" s="71" t="str">
        <x:v>Деньги ≥ стартового бюджета: 1 / 0</x:v>
      </x:c>
      <x:c r="B35" s="72"/>
      <x:c r="C35" s="72" t="n">
        <x:f>IF(C21&gt;='Допущения'!$E$18,1,0)</x:f>
        <x:v>0</x:v>
      </x:c>
      <x:c r="D35" s="72" t="n">
        <x:f>IF(D21&gt;='Допущения'!$E$18,1,0)</x:f>
        <x:v>0</x:v>
      </x:c>
      <x:c r="E35" s="72" t="n">
        <x:f>IF(E21&gt;='Допущения'!$E$18,1,0)</x:f>
        <x:v>0</x:v>
      </x:c>
      <x:c r="F35" s="72" t="n">
        <x:f>IF(F21&gt;='Допущения'!$E$18,1,0)</x:f>
        <x:v>0</x:v>
      </x:c>
      <x:c r="G35" s="72" t="n">
        <x:f>IF(G21&gt;='Допущения'!$E$18,1,0)</x:f>
        <x:v>0</x:v>
      </x:c>
      <x:c r="H35" s="72" t="n">
        <x:f>IF(H21&gt;='Допущения'!$E$18,1,0)</x:f>
        <x:v>0</x:v>
      </x:c>
      <x:c r="I35" s="72" t="n">
        <x:f>IF(I21&gt;='Допущения'!$E$18,1,0)</x:f>
        <x:v>1</x:v>
      </x:c>
      <x:c r="J35" s="72" t="n">
        <x:f>IF(J21&gt;='Допущения'!$E$18,1,0)</x:f>
        <x:v>1</x:v>
      </x:c>
      <x:c r="K35" s="72" t="n">
        <x:f>IF(K21&gt;='Допущения'!$E$18,1,0)</x:f>
        <x:v>1</x:v>
      </x:c>
      <x:c r="L35" s="72" t="n">
        <x:f>IF(L21&gt;='Допущения'!$E$18,1,0)</x:f>
        <x:v>1</x:v>
      </x:c>
      <x:c r="M35" s="72" t="n">
        <x:f>IF(M21&gt;='Допущения'!$E$18,1,0)</x:f>
        <x:v>1</x:v>
      </x:c>
      <x:c r="N35" s="72" t="n">
        <x:f>IF(N21&gt;='Допущения'!$E$18,1,0)</x:f>
        <x:v>1</x:v>
      </x:c>
    </x:row>
    <x:row r="36" ht="28" customHeight="1">
      <x:c r="A36" s="48" t="str">
        <x:v>Выручка за М1–М6</x:v>
      </x:c>
      <x:c r="B36" s="65" t="n">
        <x:f>SUM(C14:H14)</x:f>
        <x:v>1211842.566</x:v>
      </x:c>
    </x:row>
    <x:row r="37" ht="28" customHeight="1">
      <x:c r="A37" s="48" t="str">
        <x:v>Маржа за М1–М6</x:v>
      </x:c>
      <x:c r="B37" s="65" t="n">
        <x:f>SUM(C18:H18)</x:f>
        <x:v>409861.30185</x:v>
      </x:c>
    </x:row>
    <x:row r="38" ht="28" customHeight="1">
      <x:c r="A38" s="48" t="str">
        <x:v>Результат за М1–М6 до налогов и возвратов</x:v>
      </x:c>
      <x:c r="B38" s="65" t="n">
        <x:f>SUM(C20:H20)</x:f>
        <x:v>-30138.69815000001</x:v>
      </x:c>
    </x:row>
    <x:row r="40">
      <x:c r="A40" t="str">
        <x:v>Выбранный сценарий</x:v>
      </x:c>
      <x:c r="B40" s="87" t="str">
        <x:f>CHOOSE('Допущения'!$B$2,"Пессимист","База","Оптимист")</x:f>
        <x:v>База</x:v>
      </x:c>
    </x:row>
  </x:sheetData>
  <x:mergeCells>
    <x:mergeCell ref="A32:N3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42" hidden="0" customWidth="1"/>
    <x:col min="2" max="2" width="19" hidden="0" customWidth="1"/>
    <x:col min="3" max="3" width="76" hidden="0" customWidth="1"/>
  </x:cols>
  <x:sheetData>
    <x:row r="1">
      <x:c r="A1" s="22" t="str">
        <x:v>Попутка: бюджет на первые шесть месяцев</x:v>
      </x:c>
      <x:c r="B1" s="23" t="n"/>
      <x:c r="C1" s="23" t="n"/>
    </x:row>
    <x:row r="2" ht="42" customHeight="1">
      <x:c r="A2" s="56" t="inlineStr">
        <x:is>
          <x:t xml:space="preserve">Статья</x:t>
        </x:is>
      </x:c>
      <x:c r="B2" s="56" t="inlineStr">
        <x:is>
          <x:t xml:space="preserve">Сумма, ₽</x:t>
        </x:is>
      </x:c>
      <x:c r="C2" s="56" t="inlineStr">
        <x:is>
          <x:t xml:space="preserve">Комментарий</x:t>
        </x:is>
      </x:c>
    </x:row>
    <x:row r="3" ht="42" customHeight="1">
      <x:c r="A3" s="39" t="inlineStr">
        <x:is>
          <x:t xml:space="preserve">Разработка MVP</x:t>
        </x:is>
      </x:c>
      <x:c r="B3" s="79" t="n">
        <x:f>SUM('Фин модель (12 мес)'!C4:H4)</x:f>
        <x:v>150000</x:v>
      </x:c>
      <x:c r="C3" s="39" t="inlineStr">
        <x:is>
          <x:t xml:space="preserve">боты клиента, магазина, курьера; ИИ-разбор; подключение прайсов</x:t>
        </x:is>
      </x:c>
    </x:row>
    <x:row r="4" ht="42" customHeight="1">
      <x:c r="A4" s="39" t="inlineStr">
        <x:is>
          <x:t xml:space="preserve">Маркетинг</x:t>
        </x:is>
      </x:c>
      <x:c r="B4" s="79" t="n">
        <x:f>SUM('Фин модель (12 мес)'!C3:H3)</x:f>
        <x:v>200000</x:v>
      </x:c>
      <x:c r="C4" s="39" t="str">
        <x:v>10 тыс. ₽ на пилот; массовое привлечение после проверки. Промо учтены в доле бесплатных доставок.</x:v>
      </x:c>
    </x:row>
    <x:row r="5" ht="42" customHeight="1">
      <x:c r="A5" s="39" t="str">
        <x:v>Поддержка курьеров на пилоте</x:v>
      </x:c>
      <x:c r="B5" s="79" t="n">
        <x:f>SUM('Фин модель (12 мес)'!C5:H5)</x:f>
        <x:v>60000</x:v>
      </x:c>
      <x:c r="C5" s="39" t="str">
        <x:v>До 60 тыс. ₽ сверх оплаты доставленных заказов.</x:v>
      </x:c>
    </x:row>
    <x:row r="6" ht="42" customHeight="1">
      <x:c r="A6" s="39" t="inlineStr">
        <x:is>
          <x:t xml:space="preserve">Сервер, API (фикс.)</x:t>
        </x:is>
      </x:c>
      <x:c r="B6" s="79" t="n">
        <x:f>SUM('Фин модель (12 мес)'!C6:H6)</x:f>
        <x:v>30000</x:v>
      </x:c>
      <x:c r="C6" s="39" t="str">
        <x:v>Фиксированный сервер; переменные вызовы ИИ отдельно.</x:v>
      </x:c>
    </x:row>
    <x:row r="7" ht="42" customHeight="1">
      <x:c r="A7" s="58" t="inlineStr">
        <x:is>
          <x:t xml:space="preserve">Итого из бюджета</x:t>
        </x:is>
      </x:c>
      <x:c r="B7" s="80" t="n">
        <x:f>SUM(B3:B6)</x:f>
        <x:v>440000</x:v>
      </x:c>
      <x:c r="C7" s="39" t="inlineStr">
        <x:is>
          <x:t xml:space="preserve"/>
        </x:is>
      </x:c>
    </x:row>
    <x:row r="8" ht="42" customHeight="1">
      <x:c r="A8" s="39" t="str">
        <x:v>Неиспользованный бюджет / резерв</x:v>
      </x:c>
      <x:c r="B8" s="79" t="n">
        <x:f>'Допущения'!$E$18-B7</x:f>
        <x:v>60000</x:v>
      </x:c>
      <x:c r="C8" s="39" t="str">
        <x:v>В базе 60 тыс. ₽. При остановке маркетинга остаток увеличивается.</x:v>
      </x:c>
    </x:row>
    <x:row r="40">
      <x:c r="A40" t="str">
        <x:v>Выбранный сценарий</x:v>
      </x:c>
      <x:c r="B40" s="87" t="str">
        <x:f>CHOOSE('Допущения'!$B$2,"Пессимист","База","Оптимист")</x:f>
        <x:v>База</x:v>
      </x:c>
    </x:row>
  </x:sheetData>
  <x:pageMargins left="0.7" right="0.7" top="0.75" bottom="0.75" header="0.3" footer="0.3"/>
</x:worksheet>
</file>