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ценарии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Юнит-экономика" sheetId="3" state="visible" r:id="rId3"/>
    <sheet xmlns:r="http://schemas.openxmlformats.org/officeDocument/2006/relationships" name="Фин модель (12 мес)" sheetId="4" state="visible" r:id="rId4"/>
    <sheet xmlns:r="http://schemas.openxmlformats.org/officeDocument/2006/relationships" name="Бюджет 500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</font>
    <font>
      <name val="Times New Roman"/>
      <sz val="11"/>
    </font>
    <font>
      <name val="Times New Roman"/>
      <b val="1"/>
      <sz val="11"/>
    </font>
    <font>
      <name val="Times New Roman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3" fontId="3" fillId="2" borderId="0" pivotButton="0" quotePrefix="0" xfId="0"/>
    <xf numFmtId="3" fontId="4" fillId="3" borderId="0" pivotButton="0" quotePrefix="0" xfId="0"/>
    <xf numFmtId="9" fontId="3" fillId="2" borderId="0" pivotButton="0" quotePrefix="0" xfId="0"/>
    <xf numFmtId="9" fontId="4" fillId="3" borderId="0" pivotButton="0" quotePrefix="0" xfId="0"/>
    <xf numFmtId="164" fontId="3" fillId="2" borderId="0" pivotButton="0" quotePrefix="0" xfId="0"/>
    <xf numFmtId="164" fontId="4" fillId="3" borderId="0" pivotButton="0" quotePrefix="0" xfId="0"/>
    <xf numFmtId="165" fontId="3" fillId="2" borderId="0" pivotButton="0" quotePrefix="0" xfId="0"/>
    <xf numFmtId="165" fontId="4" fillId="3" borderId="0" pivotButton="0" quotePrefix="0" xfId="0"/>
    <xf numFmtId="3" fontId="3" fillId="0" borderId="0" pivotButton="0" quotePrefix="0" xfId="0"/>
    <xf numFmtId="0" fontId="4" fillId="0" borderId="0" pivotButton="0" quotePrefix="0" xfId="0"/>
    <xf numFmtId="165" fontId="3" fillId="0" borderId="0" pivotButton="0" quotePrefix="0" xfId="0"/>
    <xf numFmtId="0" fontId="4" fillId="4" borderId="0" pivotButton="0" quotePrefix="0" xfId="0"/>
    <xf numFmtId="3" fontId="4" fillId="0" borderId="0" pivotButton="0" quotePrefix="0" xfId="0"/>
    <xf numFmtId="0" fontId="4" fillId="3" borderId="0" pivotButton="0" quotePrefix="0" xfId="0"/>
    <xf numFmtId="3" fontId="3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Попутка — три сценария (посчитано этой моделью, переключатель на листе «Допущения», B2)</t>
        </is>
      </c>
      <c r="B1" s="19" t="n"/>
      <c r="C1" s="19" t="n"/>
      <c r="D1" s="19" t="n"/>
    </row>
    <row r="2">
      <c r="A2" s="19" t="n"/>
      <c r="B2" s="19" t="n"/>
      <c r="C2" s="19" t="n"/>
      <c r="D2" s="19" t="n"/>
    </row>
    <row r="3">
      <c r="A3" s="20" t="inlineStr">
        <is>
          <t>Показатель</t>
        </is>
      </c>
      <c r="B3" s="20" t="inlineStr">
        <is>
          <t>Пессимист</t>
        </is>
      </c>
      <c r="C3" s="20" t="inlineStr">
        <is>
          <t>База</t>
        </is>
      </c>
      <c r="D3" s="20" t="inlineStr">
        <is>
          <t>Оптимист</t>
        </is>
      </c>
    </row>
    <row r="4">
      <c r="A4" s="19" t="inlineStr">
        <is>
          <t>Средний чек, ₽</t>
        </is>
      </c>
      <c r="B4" s="19" t="inlineStr">
        <is>
          <t>1 100</t>
        </is>
      </c>
      <c r="C4" s="19" t="inlineStr">
        <is>
          <t>1 200</t>
        </is>
      </c>
      <c r="D4" s="19" t="inlineStr">
        <is>
          <t>1 300</t>
        </is>
      </c>
    </row>
    <row r="5">
      <c r="A5" s="19" t="inlineStr">
        <is>
          <t>Курьер за заказ, ₽</t>
        </is>
      </c>
      <c r="B5" s="19" t="inlineStr">
        <is>
          <t>120</t>
        </is>
      </c>
      <c r="C5" s="19" t="inlineStr">
        <is>
          <t>100</t>
        </is>
      </c>
      <c r="D5" s="19" t="inlineStr">
        <is>
          <t>90</t>
        </is>
      </c>
    </row>
    <row r="6">
      <c r="A6" s="19" t="inlineStr">
        <is>
          <t>Удержание активных м/м</t>
        </is>
      </c>
      <c r="B6" s="19" t="inlineStr">
        <is>
          <t>65%</t>
        </is>
      </c>
      <c r="C6" s="19" t="inlineStr">
        <is>
          <t>75%</t>
        </is>
      </c>
      <c r="D6" s="19" t="inlineStr">
        <is>
          <t>85%</t>
        </is>
      </c>
    </row>
    <row r="7">
      <c r="A7" s="19" t="inlineStr">
        <is>
          <t>CAC, ₽</t>
        </is>
      </c>
      <c r="B7" s="19" t="inlineStr">
        <is>
          <t>300</t>
        </is>
      </c>
      <c r="C7" s="19" t="inlineStr">
        <is>
          <t>200</t>
        </is>
      </c>
      <c r="D7" s="19" t="inlineStr">
        <is>
          <t>130</t>
        </is>
      </c>
    </row>
    <row r="8">
      <c r="A8" s="19" t="inlineStr">
        <is>
          <t>Выручка с заказа, ₽</t>
        </is>
      </c>
      <c r="B8" s="19" t="inlineStr">
        <is>
          <t>184</t>
        </is>
      </c>
      <c r="C8" s="19" t="inlineStr">
        <is>
          <t>204</t>
        </is>
      </c>
      <c r="D8" s="19" t="inlineStr">
        <is>
          <t>219</t>
        </is>
      </c>
    </row>
    <row r="9">
      <c r="A9" s="19" t="inlineStr">
        <is>
          <t>Маржа с заказа, ₽</t>
        </is>
      </c>
      <c r="B9" s="19" t="inlineStr">
        <is>
          <t>30</t>
        </is>
      </c>
      <c r="C9" s="19" t="inlineStr">
        <is>
          <t>69</t>
        </is>
      </c>
      <c r="D9" s="19" t="inlineStr">
        <is>
          <t>91</t>
        </is>
      </c>
    </row>
    <row r="10">
      <c r="A10" s="19" t="inlineStr">
        <is>
          <t>LTV, ₽</t>
        </is>
      </c>
      <c r="B10" s="19" t="inlineStr">
        <is>
          <t>171</t>
        </is>
      </c>
      <c r="C10" s="19" t="inlineStr">
        <is>
          <t>829</t>
        </is>
      </c>
      <c r="D10" s="19" t="inlineStr">
        <is>
          <t>2 132</t>
        </is>
      </c>
    </row>
    <row r="11">
      <c r="A11" s="21" t="inlineStr">
        <is>
          <t>LTV / CAC</t>
        </is>
      </c>
      <c r="B11" s="21" t="inlineStr">
        <is>
          <t>0,6</t>
        </is>
      </c>
      <c r="C11" s="21" t="inlineStr">
        <is>
          <t>4,1</t>
        </is>
      </c>
      <c r="D11" s="21" t="inlineStr">
        <is>
          <t>16,4</t>
        </is>
      </c>
    </row>
    <row r="12">
      <c r="A12" s="19" t="inlineStr">
        <is>
          <t>Активных к М6</t>
        </is>
      </c>
      <c r="B12" s="19" t="inlineStr">
        <is>
          <t>358</t>
        </is>
      </c>
      <c r="C12" s="19" t="inlineStr">
        <is>
          <t>674</t>
        </is>
      </c>
      <c r="D12" s="19" t="inlineStr">
        <is>
          <t>1 338</t>
        </is>
      </c>
    </row>
    <row r="13">
      <c r="A13" s="19" t="inlineStr">
        <is>
          <t>Первый месяц в плюс</t>
        </is>
      </c>
      <c r="B13" s="19" t="inlineStr">
        <is>
          <t>нет за 12 мес</t>
        </is>
      </c>
      <c r="C13" s="19" t="inlineStr">
        <is>
          <t>М4</t>
        </is>
      </c>
      <c r="D13" s="19" t="inlineStr">
        <is>
          <t>М3</t>
        </is>
      </c>
    </row>
    <row r="14">
      <c r="A14" s="21" t="inlineStr">
        <is>
          <t>500к вернулись</t>
        </is>
      </c>
      <c r="B14" s="21" t="inlineStr">
        <is>
          <t>нет за 12 мес</t>
        </is>
      </c>
      <c r="C14" s="21" t="inlineStr">
        <is>
          <t>М6</t>
        </is>
      </c>
      <c r="D14" s="21" t="inlineStr">
        <is>
          <t>М3</t>
        </is>
      </c>
    </row>
    <row r="15">
      <c r="A15" s="19" t="inlineStr">
        <is>
          <t>Минимум денег на счёте</t>
        </is>
      </c>
      <c r="B15" s="19" t="inlineStr">
        <is>
          <t>12 тыс. (М12)</t>
        </is>
      </c>
      <c r="C15" s="19" t="inlineStr">
        <is>
          <t>333 тыс. (М3)</t>
        </is>
      </c>
      <c r="D15" s="19" t="inlineStr">
        <is>
          <t>414 тыс. (М2)</t>
        </is>
      </c>
    </row>
    <row r="16">
      <c r="A16" s="19" t="inlineStr">
        <is>
          <t>Деньги к М12</t>
        </is>
      </c>
      <c r="B16" s="19" t="inlineStr">
        <is>
          <t>12 тыс.</t>
        </is>
      </c>
      <c r="C16" s="19" t="inlineStr">
        <is>
          <t>1,31 млн</t>
        </is>
      </c>
      <c r="D16" s="19" t="inlineStr">
        <is>
          <t>4,98 млн</t>
        </is>
      </c>
    </row>
    <row r="17">
      <c r="A17" s="19" t="n"/>
      <c r="B17" s="19" t="n"/>
      <c r="C17" s="19" t="n"/>
      <c r="D17" s="19" t="n"/>
    </row>
    <row r="18">
      <c r="A18" s="19" t="inlineStr">
        <is>
          <t>Стоп-правило: если на пилоте (нед. 5–6) в рейсе &lt; 2 заказов или курьер &gt; 120 ₽ за заказ — маркетинг не включаем, бюджет не сжигаем, меняем модель (слоты доставки, сужаем зону).</t>
        </is>
      </c>
      <c r="B18" s="19" t="n"/>
      <c r="C18" s="19" t="n"/>
      <c r="D18" s="19" t="n"/>
    </row>
    <row r="19">
      <c r="A19" s="19" t="inlineStr">
        <is>
          <t>Допущение: команда работает без зарплаты первые 12 мес (строка «Зарплата команды» в модели — можно задать).</t>
        </is>
      </c>
      <c r="B19" s="19" t="n"/>
      <c r="C19" s="19" t="n"/>
      <c r="D19" s="1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34" customWidth="1" min="6" max="6"/>
  </cols>
  <sheetData>
    <row r="1">
      <c r="A1" s="1" t="inlineStr">
        <is>
          <t>Попутка — допущения фин. модели</t>
        </is>
      </c>
      <c r="B1" s="2" t="n"/>
      <c r="C1" s="2" t="n"/>
      <c r="D1" s="2" t="n"/>
      <c r="E1" s="2" t="n"/>
      <c r="F1" s="2" t="n"/>
    </row>
    <row r="2">
      <c r="A2" s="2" t="inlineStr">
        <is>
          <t>Сценарий (1 — пессимист, 2 — база, 3 — оптимист):</t>
        </is>
      </c>
      <c r="B2" s="3" t="n">
        <v>2</v>
      </c>
      <c r="C2" s="2" t="n"/>
      <c r="D2" s="2" t="n"/>
      <c r="E2" s="2" t="n"/>
      <c r="F2" s="2" t="n"/>
    </row>
    <row r="3">
      <c r="A3" s="2" t="inlineStr">
        <is>
          <t>Жёлтые ячейки можно менять — вся модель пересчитается.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inlineStr">
        <is>
          <t>Параметр</t>
        </is>
      </c>
      <c r="B5" s="2" t="inlineStr">
        <is>
          <t>Пессимист</t>
        </is>
      </c>
      <c r="C5" s="2" t="inlineStr">
        <is>
          <t>База</t>
        </is>
      </c>
      <c r="D5" s="2" t="inlineStr">
        <is>
          <t>Оптимист</t>
        </is>
      </c>
      <c r="E5" s="2" t="inlineStr">
        <is>
          <t>АКТИВНЫЙ</t>
        </is>
      </c>
      <c r="F5" s="2" t="inlineStr">
        <is>
          <t>Комментарий</t>
        </is>
      </c>
    </row>
    <row r="6">
      <c r="A6" s="2" t="inlineStr">
        <is>
          <t>Средний чек товаров, ₽</t>
        </is>
      </c>
      <c r="B6" s="4" t="n">
        <v>1100</v>
      </c>
      <c r="C6" s="4" t="n">
        <v>1200</v>
      </c>
      <c r="D6" s="4" t="n">
        <v>1300</v>
      </c>
      <c r="E6" s="5">
        <f>CHOOSE($B$2,B6,C6,D6)</f>
        <v/>
      </c>
      <c r="F6" s="2" t="inlineStr">
        <is>
          <t>корзина из 1–3 магазинов</t>
        </is>
      </c>
    </row>
    <row r="7">
      <c r="A7" s="2" t="inlineStr">
        <is>
          <t>Доставка с клиента, ₽</t>
        </is>
      </c>
      <c r="B7" s="4" t="n">
        <v>99</v>
      </c>
      <c r="C7" s="4" t="n">
        <v>99</v>
      </c>
      <c r="D7" s="4" t="n">
        <v>99</v>
      </c>
      <c r="E7" s="5">
        <f>CHOOSE($B$2,B7,C7,D7)</f>
        <v/>
      </c>
      <c r="F7" s="2" t="inlineStr"/>
    </row>
    <row r="8">
      <c r="A8" s="2" t="inlineStr">
        <is>
          <t>Доля заказов с бесплатной доставкой</t>
        </is>
      </c>
      <c r="B8" s="6" t="n">
        <v>0.25</v>
      </c>
      <c r="C8" s="6" t="n">
        <v>0.15</v>
      </c>
      <c r="D8" s="6" t="n">
        <v>0.1</v>
      </c>
      <c r="E8" s="7">
        <f>CHOOSE($B$2,B8,C8,D8)</f>
        <v/>
      </c>
      <c r="F8" s="2" t="inlineStr">
        <is>
          <t>попутные рейсы, промо</t>
        </is>
      </c>
    </row>
    <row r="9">
      <c r="A9" s="2" t="inlineStr">
        <is>
          <t>Комиссия магазина</t>
        </is>
      </c>
      <c r="B9" s="6" t="n">
        <v>0.1</v>
      </c>
      <c r="C9" s="6" t="n">
        <v>0.1</v>
      </c>
      <c r="D9" s="6" t="n">
        <v>0.1</v>
      </c>
      <c r="E9" s="7">
        <f>CHOOSE($B$2,B9,C9,D9)</f>
        <v/>
      </c>
      <c r="F9" s="2" t="inlineStr">
        <is>
          <t>агрегаторы берут 20–30%</t>
        </is>
      </c>
    </row>
    <row r="10">
      <c r="A10" s="2" t="inlineStr">
        <is>
          <t>Эквайринг (от оплаты клиента)</t>
        </is>
      </c>
      <c r="B10" s="8" t="n">
        <v>0.025</v>
      </c>
      <c r="C10" s="8" t="n">
        <v>0.025</v>
      </c>
      <c r="D10" s="8" t="n">
        <v>0.025</v>
      </c>
      <c r="E10" s="9">
        <f>CHOOSE($B$2,B10,C10,D10)</f>
        <v/>
      </c>
      <c r="F10" s="2" t="inlineStr">
        <is>
          <t>ЮKassa, агентская схема</t>
        </is>
      </c>
    </row>
    <row r="11">
      <c r="A11" s="2" t="inlineStr">
        <is>
          <t>Курьер за заказ, ₽</t>
        </is>
      </c>
      <c r="B11" s="4" t="n">
        <v>120</v>
      </c>
      <c r="C11" s="4" t="n">
        <v>100</v>
      </c>
      <c r="D11" s="4" t="n">
        <v>90</v>
      </c>
      <c r="E11" s="5">
        <f>CHOOSE($B$2,B11,C11,D11)</f>
        <v/>
      </c>
      <c r="F11" s="2" t="inlineStr">
        <is>
          <t>рейс ~300 ₽ / заказов в рейсе</t>
        </is>
      </c>
    </row>
    <row r="12">
      <c r="A12" s="2" t="inlineStr">
        <is>
          <t>ИИ + сервер за заказ, ₽</t>
        </is>
      </c>
      <c r="B12" s="4" t="n">
        <v>5</v>
      </c>
      <c r="C12" s="4" t="n">
        <v>3</v>
      </c>
      <c r="D12" s="4" t="n">
        <v>3</v>
      </c>
      <c r="E12" s="5">
        <f>CHOOSE($B$2,B12,C12,D12)</f>
        <v/>
      </c>
      <c r="F12" s="2" t="inlineStr">
        <is>
          <t>LLM-разбор, поиск по каталогу</t>
        </is>
      </c>
    </row>
    <row r="13">
      <c r="A13" s="2" t="inlineStr">
        <is>
          <t>Заказов на активного в месяц</t>
        </is>
      </c>
      <c r="B13" s="10" t="n">
        <v>2</v>
      </c>
      <c r="C13" s="10" t="n">
        <v>3</v>
      </c>
      <c r="D13" s="10" t="n">
        <v>3.5</v>
      </c>
      <c r="E13" s="11">
        <f>CHOOSE($B$2,B13,C13,D13)</f>
        <v/>
      </c>
      <c r="F13" s="2" t="inlineStr"/>
    </row>
    <row r="14">
      <c r="A14" s="2" t="inlineStr">
        <is>
          <t>Удержание активных месяц к месяцу</t>
        </is>
      </c>
      <c r="B14" s="6" t="n">
        <v>0.65</v>
      </c>
      <c r="C14" s="6" t="n">
        <v>0.75</v>
      </c>
      <c r="D14" s="6" t="n">
        <v>0.85</v>
      </c>
      <c r="E14" s="7">
        <f>CHOOSE($B$2,B14,C14,D14)</f>
        <v/>
      </c>
      <c r="F14" s="2" t="inlineStr">
        <is>
          <t>связано с retention-7 &gt; 25%</t>
        </is>
      </c>
    </row>
    <row r="15">
      <c r="A15" s="2" t="inlineStr">
        <is>
          <t>CAC (маркетинг на 1 нового), ₽</t>
        </is>
      </c>
      <c r="B15" s="4" t="n">
        <v>300</v>
      </c>
      <c r="C15" s="4" t="n">
        <v>200</v>
      </c>
      <c r="D15" s="4" t="n">
        <v>130</v>
      </c>
      <c r="E15" s="5">
        <f>CHOOSE($B$2,B15,C15,D15)</f>
        <v/>
      </c>
      <c r="F15" s="2" t="inlineStr">
        <is>
          <t>QR в магазинах, паблики, листовки</t>
        </is>
      </c>
    </row>
    <row r="16">
      <c r="A16" s="2" t="inlineStr">
        <is>
          <t>Рефералы: новые от активных в мес</t>
        </is>
      </c>
      <c r="B16" s="6" t="n">
        <v>0.03</v>
      </c>
      <c r="C16" s="6" t="n">
        <v>0.05</v>
      </c>
      <c r="D16" s="6" t="n">
        <v>0.08</v>
      </c>
      <c r="E16" s="7">
        <f>CHOOSE($B$2,B16,C16,D16)</f>
        <v/>
      </c>
      <c r="F16" s="2" t="inlineStr">
        <is>
          <t>«приведи соседа»</t>
        </is>
      </c>
    </row>
    <row r="17">
      <c r="A17" s="2" t="inlineStr">
        <is>
          <t>Заказов на 1 курьера в месяц</t>
        </is>
      </c>
      <c r="B17" s="4" t="n">
        <v>650</v>
      </c>
      <c r="C17" s="4" t="n">
        <v>650</v>
      </c>
      <c r="D17" s="4" t="n">
        <v>650</v>
      </c>
      <c r="E17" s="5">
        <f>CHOOSE($B$2,B17,C17,D17)</f>
        <v/>
      </c>
      <c r="F17" s="2" t="inlineStr">
        <is>
          <t>~25 в день × 26 дней</t>
        </is>
      </c>
    </row>
    <row r="18">
      <c r="A18" s="2" t="inlineStr">
        <is>
          <t>Стартовый бюджет, ₽</t>
        </is>
      </c>
      <c r="B18" s="4" t="n">
        <v>500000</v>
      </c>
      <c r="C18" s="4" t="n">
        <v>500000</v>
      </c>
      <c r="D18" s="4" t="n">
        <v>500000</v>
      </c>
      <c r="E18" s="5">
        <f>CHOOSE($B$2,B18,C18,D18)</f>
        <v/>
      </c>
      <c r="F18" s="2" t="inlineStr">
        <is>
          <t>на 6 мес, доп. денег 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Экономика одного заказа и клиента (активный сценарий)</t>
        </is>
      </c>
      <c r="B1" s="2" t="n"/>
    </row>
    <row r="2">
      <c r="A2" s="2" t="n"/>
      <c r="B2" s="2" t="n"/>
    </row>
    <row r="3">
      <c r="A3" s="2" t="inlineStr">
        <is>
          <t>Выручка: доставка (с учётом бесплатных), ₽</t>
        </is>
      </c>
      <c r="B3" s="12">
        <f>'Допущения'!$E$7*(1-'Допущения'!$E$8)</f>
        <v/>
      </c>
    </row>
    <row r="4">
      <c r="A4" s="2" t="inlineStr">
        <is>
          <t>Выручка: комиссия магазина, ₽</t>
        </is>
      </c>
      <c r="B4" s="12">
        <f>'Допущения'!$E$6*'Допущения'!$E$9</f>
        <v/>
      </c>
    </row>
    <row r="5">
      <c r="A5" s="13" t="inlineStr">
        <is>
          <t>Выручка с заказа, ₽</t>
        </is>
      </c>
      <c r="B5" s="5">
        <f>B3+B4</f>
        <v/>
      </c>
    </row>
    <row r="6">
      <c r="A6" s="2" t="inlineStr">
        <is>
          <t>Курьер, ₽</t>
        </is>
      </c>
      <c r="B6" s="12">
        <f>'Допущения'!$E$11</f>
        <v/>
      </c>
    </row>
    <row r="7">
      <c r="A7" s="2" t="inlineStr">
        <is>
          <t>ИИ + сервер, ₽</t>
        </is>
      </c>
      <c r="B7" s="12">
        <f>'Допущения'!$E$12</f>
        <v/>
      </c>
    </row>
    <row r="8">
      <c r="A8" s="2" t="inlineStr">
        <is>
          <t>Эквайринг, ₽</t>
        </is>
      </c>
      <c r="B8" s="12">
        <f>'Допущения'!$E$10*('Допущения'!$E$6+B3)</f>
        <v/>
      </c>
    </row>
    <row r="9">
      <c r="A9" s="2" t="inlineStr">
        <is>
          <t>Переменные расходы на заказ, ₽</t>
        </is>
      </c>
      <c r="B9" s="12">
        <f>B6+B7+B8</f>
        <v/>
      </c>
    </row>
    <row r="10">
      <c r="A10" s="13" t="inlineStr">
        <is>
          <t>Маржа с заказа, ₽</t>
        </is>
      </c>
      <c r="B10" s="5">
        <f>B5-B9</f>
        <v/>
      </c>
    </row>
    <row r="11">
      <c r="A11" s="2" t="inlineStr">
        <is>
          <t>Маржа с клиента в месяц, ₽</t>
        </is>
      </c>
      <c r="B11" s="12">
        <f>B10*'Допущения'!$E$13</f>
        <v/>
      </c>
    </row>
    <row r="12">
      <c r="A12" s="2" t="inlineStr">
        <is>
          <t>Срок жизни клиента, мес</t>
        </is>
      </c>
      <c r="B12" s="14">
        <f>1/(1-'Допущения'!$E$14)</f>
        <v/>
      </c>
    </row>
    <row r="13">
      <c r="A13" s="13" t="inlineStr">
        <is>
          <t>LTV (по марже), ₽</t>
        </is>
      </c>
      <c r="B13" s="5">
        <f>B11*B12</f>
        <v/>
      </c>
    </row>
    <row r="14">
      <c r="A14" s="2" t="inlineStr">
        <is>
          <t>CAC, ₽</t>
        </is>
      </c>
      <c r="B14" s="12">
        <f>'Допущения'!$E$15</f>
        <v/>
      </c>
    </row>
    <row r="15">
      <c r="A15" s="13" t="inlineStr">
        <is>
          <t>LTV / CAC</t>
        </is>
      </c>
      <c r="B15" s="11">
        <f>B13/B14</f>
        <v/>
      </c>
    </row>
    <row r="16">
      <c r="A16" s="2" t="inlineStr">
        <is>
          <t>Окупаемость CAC, мес</t>
        </is>
      </c>
      <c r="B16" s="14">
        <f>B14/B11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Помесячная модель, ₽ (активный сценарий)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5" t="inlineStr">
        <is>
          <t>Статья</t>
        </is>
      </c>
      <c r="B2" s="15" t="inlineStr">
        <is>
          <t>Итого</t>
        </is>
      </c>
      <c r="C2" s="15" t="inlineStr">
        <is>
          <t>М1</t>
        </is>
      </c>
      <c r="D2" s="15" t="inlineStr">
        <is>
          <t>М2</t>
        </is>
      </c>
      <c r="E2" s="15" t="inlineStr">
        <is>
          <t>М3</t>
        </is>
      </c>
      <c r="F2" s="15" t="inlineStr">
        <is>
          <t>М4</t>
        </is>
      </c>
      <c r="G2" s="15" t="inlineStr">
        <is>
          <t>М5</t>
        </is>
      </c>
      <c r="H2" s="15" t="inlineStr">
        <is>
          <t>М6</t>
        </is>
      </c>
      <c r="I2" s="15" t="inlineStr">
        <is>
          <t>М7</t>
        </is>
      </c>
      <c r="J2" s="15" t="inlineStr">
        <is>
          <t>М8</t>
        </is>
      </c>
      <c r="K2" s="15" t="inlineStr">
        <is>
          <t>М9</t>
        </is>
      </c>
      <c r="L2" s="15" t="inlineStr">
        <is>
          <t>М10</t>
        </is>
      </c>
      <c r="M2" s="15" t="inlineStr">
        <is>
          <t>М11</t>
        </is>
      </c>
      <c r="N2" s="15" t="inlineStr">
        <is>
          <t>М12</t>
        </is>
      </c>
    </row>
    <row r="3">
      <c r="A3" s="2" t="inlineStr">
        <is>
          <t>Маркетинг</t>
        </is>
      </c>
      <c r="B3" s="16">
        <f>SUM(C3:N3)</f>
        <v/>
      </c>
      <c r="C3" s="4" t="n">
        <v>10000</v>
      </c>
      <c r="D3" s="4" t="n">
        <v>25000</v>
      </c>
      <c r="E3" s="4" t="n">
        <v>40000</v>
      </c>
      <c r="F3" s="4" t="n">
        <v>45000</v>
      </c>
      <c r="G3" s="4" t="n">
        <v>40000</v>
      </c>
      <c r="H3" s="4" t="n">
        <v>40000</v>
      </c>
      <c r="I3" s="4" t="n">
        <v>40000</v>
      </c>
      <c r="J3" s="4" t="n">
        <v>40000</v>
      </c>
      <c r="K3" s="4" t="n">
        <v>40000</v>
      </c>
      <c r="L3" s="4" t="n">
        <v>40000</v>
      </c>
      <c r="M3" s="4" t="n">
        <v>40000</v>
      </c>
      <c r="N3" s="4" t="n">
        <v>40000</v>
      </c>
    </row>
    <row r="4">
      <c r="A4" s="2" t="inlineStr">
        <is>
          <t>Разработка</t>
        </is>
      </c>
      <c r="B4" s="16">
        <f>SUM(C4:N4)</f>
        <v/>
      </c>
      <c r="C4" s="4" t="n">
        <v>60000</v>
      </c>
      <c r="D4" s="4" t="n">
        <v>50000</v>
      </c>
      <c r="E4" s="4" t="n">
        <v>20000</v>
      </c>
      <c r="F4" s="4" t="n">
        <v>10000</v>
      </c>
      <c r="G4" s="4" t="n">
        <v>5000</v>
      </c>
      <c r="H4" s="4" t="n">
        <v>5000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2" t="inlineStr">
        <is>
          <t>Гарантия курьерам</t>
        </is>
      </c>
      <c r="B5" s="16">
        <f>SUM(C5:N5)</f>
        <v/>
      </c>
      <c r="C5" s="4" t="n">
        <v>20000</v>
      </c>
      <c r="D5" s="4" t="n">
        <v>20000</v>
      </c>
      <c r="E5" s="4" t="n">
        <v>20000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</row>
    <row r="6">
      <c r="A6" s="2" t="inlineStr">
        <is>
          <t>Сервер, API (фикс.)</t>
        </is>
      </c>
      <c r="B6" s="16">
        <f>SUM(C6:N6)</f>
        <v/>
      </c>
      <c r="C6" s="4" t="n">
        <v>5000</v>
      </c>
      <c r="D6" s="4" t="n">
        <v>5000</v>
      </c>
      <c r="E6" s="4" t="n">
        <v>5000</v>
      </c>
      <c r="F6" s="4" t="n">
        <v>5000</v>
      </c>
      <c r="G6" s="4" t="n">
        <v>5000</v>
      </c>
      <c r="H6" s="4" t="n">
        <v>5000</v>
      </c>
      <c r="I6" s="4" t="n">
        <v>5000</v>
      </c>
      <c r="J6" s="4" t="n">
        <v>5000</v>
      </c>
      <c r="K6" s="4" t="n">
        <v>5000</v>
      </c>
      <c r="L6" s="4" t="n">
        <v>5000</v>
      </c>
      <c r="M6" s="4" t="n">
        <v>5000</v>
      </c>
      <c r="N6" s="4" t="n">
        <v>5000</v>
      </c>
    </row>
    <row r="7">
      <c r="A7" s="2" t="inlineStr">
        <is>
          <t>Зарплата команды</t>
        </is>
      </c>
      <c r="B7" s="16">
        <f>SUM(C7:N7)</f>
        <v/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</row>
    <row r="8">
      <c r="A8" s="2" t="inlineStr">
        <is>
          <t>Новые пользователи</t>
        </is>
      </c>
      <c r="B8" s="16">
        <f>SUM(C8:N8)</f>
        <v/>
      </c>
      <c r="C8" s="12">
        <f>C3/'Допущения'!$E$15+'Допущения'!$E$16*0</f>
        <v/>
      </c>
      <c r="D8" s="12">
        <f>D3/'Допущения'!$E$15+'Допущения'!$E$16*C9</f>
        <v/>
      </c>
      <c r="E8" s="12">
        <f>E3/'Допущения'!$E$15+'Допущения'!$E$16*D9</f>
        <v/>
      </c>
      <c r="F8" s="12">
        <f>F3/'Допущения'!$E$15+'Допущения'!$E$16*E9</f>
        <v/>
      </c>
      <c r="G8" s="12">
        <f>G3/'Допущения'!$E$15+'Допущения'!$E$16*F9</f>
        <v/>
      </c>
      <c r="H8" s="12">
        <f>H3/'Допущения'!$E$15+'Допущения'!$E$16*G9</f>
        <v/>
      </c>
      <c r="I8" s="12">
        <f>I3/'Допущения'!$E$15+'Допущения'!$E$16*H9</f>
        <v/>
      </c>
      <c r="J8" s="12">
        <f>J3/'Допущения'!$E$15+'Допущения'!$E$16*I9</f>
        <v/>
      </c>
      <c r="K8" s="12">
        <f>K3/'Допущения'!$E$15+'Допущения'!$E$16*J9</f>
        <v/>
      </c>
      <c r="L8" s="12">
        <f>L3/'Допущения'!$E$15+'Допущения'!$E$16*K9</f>
        <v/>
      </c>
      <c r="M8" s="12">
        <f>M3/'Допущения'!$E$15+'Допущения'!$E$16*L9</f>
        <v/>
      </c>
      <c r="N8" s="12">
        <f>N3/'Допущения'!$E$15+'Допущения'!$E$16*M9</f>
        <v/>
      </c>
    </row>
    <row r="9">
      <c r="A9" s="2" t="inlineStr">
        <is>
          <t>Активные пользователи</t>
        </is>
      </c>
      <c r="B9" s="16">
        <f>N9</f>
        <v/>
      </c>
      <c r="C9" s="12">
        <f>0*'Допущения'!$E$14+C8</f>
        <v/>
      </c>
      <c r="D9" s="12">
        <f>C9*'Допущения'!$E$14+D8</f>
        <v/>
      </c>
      <c r="E9" s="12">
        <f>D9*'Допущения'!$E$14+E8</f>
        <v/>
      </c>
      <c r="F9" s="12">
        <f>E9*'Допущения'!$E$14+F8</f>
        <v/>
      </c>
      <c r="G9" s="12">
        <f>F9*'Допущения'!$E$14+G8</f>
        <v/>
      </c>
      <c r="H9" s="12">
        <f>G9*'Допущения'!$E$14+H8</f>
        <v/>
      </c>
      <c r="I9" s="12">
        <f>H9*'Допущения'!$E$14+I8</f>
        <v/>
      </c>
      <c r="J9" s="12">
        <f>I9*'Допущения'!$E$14+J8</f>
        <v/>
      </c>
      <c r="K9" s="12">
        <f>J9*'Допущения'!$E$14+K8</f>
        <v/>
      </c>
      <c r="L9" s="12">
        <f>K9*'Допущения'!$E$14+L8</f>
        <v/>
      </c>
      <c r="M9" s="12">
        <f>L9*'Допущения'!$E$14+M8</f>
        <v/>
      </c>
      <c r="N9" s="12">
        <f>M9*'Допущения'!$E$14+N8</f>
        <v/>
      </c>
    </row>
    <row r="10">
      <c r="A10" s="2" t="inlineStr">
        <is>
          <t>Заказы</t>
        </is>
      </c>
      <c r="B10" s="16">
        <f>SUM(C10:N10)</f>
        <v/>
      </c>
      <c r="C10" s="12">
        <f>C9*'Допущения'!$E$13</f>
        <v/>
      </c>
      <c r="D10" s="12">
        <f>D9*'Допущения'!$E$13</f>
        <v/>
      </c>
      <c r="E10" s="12">
        <f>E9*'Допущения'!$E$13</f>
        <v/>
      </c>
      <c r="F10" s="12">
        <f>F9*'Допущения'!$E$13</f>
        <v/>
      </c>
      <c r="G10" s="12">
        <f>G9*'Допущения'!$E$13</f>
        <v/>
      </c>
      <c r="H10" s="12">
        <f>H9*'Допущения'!$E$13</f>
        <v/>
      </c>
      <c r="I10" s="12">
        <f>I9*'Допущения'!$E$13</f>
        <v/>
      </c>
      <c r="J10" s="12">
        <f>J9*'Допущения'!$E$13</f>
        <v/>
      </c>
      <c r="K10" s="12">
        <f>K9*'Допущения'!$E$13</f>
        <v/>
      </c>
      <c r="L10" s="12">
        <f>L9*'Допущения'!$E$13</f>
        <v/>
      </c>
      <c r="M10" s="12">
        <f>M9*'Допущения'!$E$13</f>
        <v/>
      </c>
      <c r="N10" s="12">
        <f>N9*'Допущения'!$E$13</f>
        <v/>
      </c>
    </row>
    <row r="11">
      <c r="A11" s="2" t="inlineStr">
        <is>
          <t>Оборот товаров (GMV)</t>
        </is>
      </c>
      <c r="B11" s="16">
        <f>SUM(C11:N11)</f>
        <v/>
      </c>
      <c r="C11" s="12">
        <f>C10*'Допущения'!$E$6</f>
        <v/>
      </c>
      <c r="D11" s="12">
        <f>D10*'Допущения'!$E$6</f>
        <v/>
      </c>
      <c r="E11" s="12">
        <f>E10*'Допущения'!$E$6</f>
        <v/>
      </c>
      <c r="F11" s="12">
        <f>F10*'Допущения'!$E$6</f>
        <v/>
      </c>
      <c r="G11" s="12">
        <f>G10*'Допущения'!$E$6</f>
        <v/>
      </c>
      <c r="H11" s="12">
        <f>H10*'Допущения'!$E$6</f>
        <v/>
      </c>
      <c r="I11" s="12">
        <f>I10*'Допущения'!$E$6</f>
        <v/>
      </c>
      <c r="J11" s="12">
        <f>J10*'Допущения'!$E$6</f>
        <v/>
      </c>
      <c r="K11" s="12">
        <f>K10*'Допущения'!$E$6</f>
        <v/>
      </c>
      <c r="L11" s="12">
        <f>L10*'Допущения'!$E$6</f>
        <v/>
      </c>
      <c r="M11" s="12">
        <f>M10*'Допущения'!$E$6</f>
        <v/>
      </c>
      <c r="N11" s="12">
        <f>N10*'Допущения'!$E$6</f>
        <v/>
      </c>
    </row>
    <row r="12">
      <c r="A12" s="2" t="inlineStr">
        <is>
          <t>Выручка: доставка</t>
        </is>
      </c>
      <c r="B12" s="16">
        <f>SUM(C12:N12)</f>
        <v/>
      </c>
      <c r="C12" s="12">
        <f>C10*'Юнит-экономика'!$B$3</f>
        <v/>
      </c>
      <c r="D12" s="12">
        <f>D10*'Юнит-экономика'!$B$3</f>
        <v/>
      </c>
      <c r="E12" s="12">
        <f>E10*'Юнит-экономика'!$B$3</f>
        <v/>
      </c>
      <c r="F12" s="12">
        <f>F10*'Юнит-экономика'!$B$3</f>
        <v/>
      </c>
      <c r="G12" s="12">
        <f>G10*'Юнит-экономика'!$B$3</f>
        <v/>
      </c>
      <c r="H12" s="12">
        <f>H10*'Юнит-экономика'!$B$3</f>
        <v/>
      </c>
      <c r="I12" s="12">
        <f>I10*'Юнит-экономика'!$B$3</f>
        <v/>
      </c>
      <c r="J12" s="12">
        <f>J10*'Юнит-экономика'!$B$3</f>
        <v/>
      </c>
      <c r="K12" s="12">
        <f>K10*'Юнит-экономика'!$B$3</f>
        <v/>
      </c>
      <c r="L12" s="12">
        <f>L10*'Юнит-экономика'!$B$3</f>
        <v/>
      </c>
      <c r="M12" s="12">
        <f>M10*'Юнит-экономика'!$B$3</f>
        <v/>
      </c>
      <c r="N12" s="12">
        <f>N10*'Юнит-экономика'!$B$3</f>
        <v/>
      </c>
    </row>
    <row r="13">
      <c r="A13" s="2" t="inlineStr">
        <is>
          <t>Выручка: комиссия</t>
        </is>
      </c>
      <c r="B13" s="16">
        <f>SUM(C13:N13)</f>
        <v/>
      </c>
      <c r="C13" s="12">
        <f>C10*'Юнит-экономика'!$B$4</f>
        <v/>
      </c>
      <c r="D13" s="12">
        <f>D10*'Юнит-экономика'!$B$4</f>
        <v/>
      </c>
      <c r="E13" s="12">
        <f>E10*'Юнит-экономика'!$B$4</f>
        <v/>
      </c>
      <c r="F13" s="12">
        <f>F10*'Юнит-экономика'!$B$4</f>
        <v/>
      </c>
      <c r="G13" s="12">
        <f>G10*'Юнит-экономика'!$B$4</f>
        <v/>
      </c>
      <c r="H13" s="12">
        <f>H10*'Юнит-экономика'!$B$4</f>
        <v/>
      </c>
      <c r="I13" s="12">
        <f>I10*'Юнит-экономика'!$B$4</f>
        <v/>
      </c>
      <c r="J13" s="12">
        <f>J10*'Юнит-экономика'!$B$4</f>
        <v/>
      </c>
      <c r="K13" s="12">
        <f>K10*'Юнит-экономика'!$B$4</f>
        <v/>
      </c>
      <c r="L13" s="12">
        <f>L10*'Юнит-экономика'!$B$4</f>
        <v/>
      </c>
      <c r="M13" s="12">
        <f>M10*'Юнит-экономика'!$B$4</f>
        <v/>
      </c>
      <c r="N13" s="12">
        <f>N10*'Юнит-экономика'!$B$4</f>
        <v/>
      </c>
    </row>
    <row r="14">
      <c r="A14" s="17" t="inlineStr">
        <is>
          <t>Выручка итого</t>
        </is>
      </c>
      <c r="B14" s="5">
        <f>SUM(C14:N14)</f>
        <v/>
      </c>
      <c r="C14" s="18">
        <f>C12+C13</f>
        <v/>
      </c>
      <c r="D14" s="18">
        <f>D12+D13</f>
        <v/>
      </c>
      <c r="E14" s="18">
        <f>E12+E13</f>
        <v/>
      </c>
      <c r="F14" s="18">
        <f>F12+F13</f>
        <v/>
      </c>
      <c r="G14" s="18">
        <f>G12+G13</f>
        <v/>
      </c>
      <c r="H14" s="18">
        <f>H12+H13</f>
        <v/>
      </c>
      <c r="I14" s="18">
        <f>I12+I13</f>
        <v/>
      </c>
      <c r="J14" s="18">
        <f>J12+J13</f>
        <v/>
      </c>
      <c r="K14" s="18">
        <f>K12+K13</f>
        <v/>
      </c>
      <c r="L14" s="18">
        <f>L12+L13</f>
        <v/>
      </c>
      <c r="M14" s="18">
        <f>M12+M13</f>
        <v/>
      </c>
      <c r="N14" s="18">
        <f>N12+N13</f>
        <v/>
      </c>
    </row>
    <row r="15">
      <c r="A15" s="2" t="inlineStr">
        <is>
          <t>Курьеры</t>
        </is>
      </c>
      <c r="B15" s="16">
        <f>SUM(C15:N15)</f>
        <v/>
      </c>
      <c r="C15" s="12">
        <f>C10*'Допущения'!$E$11</f>
        <v/>
      </c>
      <c r="D15" s="12">
        <f>D10*'Допущения'!$E$11</f>
        <v/>
      </c>
      <c r="E15" s="12">
        <f>E10*'Допущения'!$E$11</f>
        <v/>
      </c>
      <c r="F15" s="12">
        <f>F10*'Допущения'!$E$11</f>
        <v/>
      </c>
      <c r="G15" s="12">
        <f>G10*'Допущения'!$E$11</f>
        <v/>
      </c>
      <c r="H15" s="12">
        <f>H10*'Допущения'!$E$11</f>
        <v/>
      </c>
      <c r="I15" s="12">
        <f>I10*'Допущения'!$E$11</f>
        <v/>
      </c>
      <c r="J15" s="12">
        <f>J10*'Допущения'!$E$11</f>
        <v/>
      </c>
      <c r="K15" s="12">
        <f>K10*'Допущения'!$E$11</f>
        <v/>
      </c>
      <c r="L15" s="12">
        <f>L10*'Допущения'!$E$11</f>
        <v/>
      </c>
      <c r="M15" s="12">
        <f>M10*'Допущения'!$E$11</f>
        <v/>
      </c>
      <c r="N15" s="12">
        <f>N10*'Допущения'!$E$11</f>
        <v/>
      </c>
    </row>
    <row r="16">
      <c r="A16" s="2" t="inlineStr">
        <is>
          <t>ИИ + сервер (перем.)</t>
        </is>
      </c>
      <c r="B16" s="16">
        <f>SUM(C16:N16)</f>
        <v/>
      </c>
      <c r="C16" s="12">
        <f>C10*'Допущения'!$E$12</f>
        <v/>
      </c>
      <c r="D16" s="12">
        <f>D10*'Допущения'!$E$12</f>
        <v/>
      </c>
      <c r="E16" s="12">
        <f>E10*'Допущения'!$E$12</f>
        <v/>
      </c>
      <c r="F16" s="12">
        <f>F10*'Допущения'!$E$12</f>
        <v/>
      </c>
      <c r="G16" s="12">
        <f>G10*'Допущения'!$E$12</f>
        <v/>
      </c>
      <c r="H16" s="12">
        <f>H10*'Допущения'!$E$12</f>
        <v/>
      </c>
      <c r="I16" s="12">
        <f>I10*'Допущения'!$E$12</f>
        <v/>
      </c>
      <c r="J16" s="12">
        <f>J10*'Допущения'!$E$12</f>
        <v/>
      </c>
      <c r="K16" s="12">
        <f>K10*'Допущения'!$E$12</f>
        <v/>
      </c>
      <c r="L16" s="12">
        <f>L10*'Допущения'!$E$12</f>
        <v/>
      </c>
      <c r="M16" s="12">
        <f>M10*'Допущения'!$E$12</f>
        <v/>
      </c>
      <c r="N16" s="12">
        <f>N10*'Допущения'!$E$12</f>
        <v/>
      </c>
    </row>
    <row r="17">
      <c r="A17" s="2" t="inlineStr">
        <is>
          <t>Эквайринг</t>
        </is>
      </c>
      <c r="B17" s="16">
        <f>SUM(C17:N17)</f>
        <v/>
      </c>
      <c r="C17" s="12">
        <f>C10*'Юнит-экономика'!$B$8</f>
        <v/>
      </c>
      <c r="D17" s="12">
        <f>D10*'Юнит-экономика'!$B$8</f>
        <v/>
      </c>
      <c r="E17" s="12">
        <f>E10*'Юнит-экономика'!$B$8</f>
        <v/>
      </c>
      <c r="F17" s="12">
        <f>F10*'Юнит-экономика'!$B$8</f>
        <v/>
      </c>
      <c r="G17" s="12">
        <f>G10*'Юнит-экономика'!$B$8</f>
        <v/>
      </c>
      <c r="H17" s="12">
        <f>H10*'Юнит-экономика'!$B$8</f>
        <v/>
      </c>
      <c r="I17" s="12">
        <f>I10*'Юнит-экономика'!$B$8</f>
        <v/>
      </c>
      <c r="J17" s="12">
        <f>J10*'Юнит-экономика'!$B$8</f>
        <v/>
      </c>
      <c r="K17" s="12">
        <f>K10*'Юнит-экономика'!$B$8</f>
        <v/>
      </c>
      <c r="L17" s="12">
        <f>L10*'Юнит-экономика'!$B$8</f>
        <v/>
      </c>
      <c r="M17" s="12">
        <f>M10*'Юнит-экономика'!$B$8</f>
        <v/>
      </c>
      <c r="N17" s="12">
        <f>N10*'Юнит-экономика'!$B$8</f>
        <v/>
      </c>
    </row>
    <row r="18">
      <c r="A18" s="17" t="inlineStr">
        <is>
          <t>Маржа после перем. расходов</t>
        </is>
      </c>
      <c r="B18" s="5">
        <f>SUM(C18:N18)</f>
        <v/>
      </c>
      <c r="C18" s="18">
        <f>C14-C15-C16-C17</f>
        <v/>
      </c>
      <c r="D18" s="18">
        <f>D14-D15-D16-D17</f>
        <v/>
      </c>
      <c r="E18" s="18">
        <f>E14-E15-E16-E17</f>
        <v/>
      </c>
      <c r="F18" s="18">
        <f>F14-F15-F16-F17</f>
        <v/>
      </c>
      <c r="G18" s="18">
        <f>G14-G15-G16-G17</f>
        <v/>
      </c>
      <c r="H18" s="18">
        <f>H14-H15-H16-H17</f>
        <v/>
      </c>
      <c r="I18" s="18">
        <f>I14-I15-I16-I17</f>
        <v/>
      </c>
      <c r="J18" s="18">
        <f>J14-J15-J16-J17</f>
        <v/>
      </c>
      <c r="K18" s="18">
        <f>K14-K15-K16-K17</f>
        <v/>
      </c>
      <c r="L18" s="18">
        <f>L14-L15-L16-L17</f>
        <v/>
      </c>
      <c r="M18" s="18">
        <f>M14-M15-M16-M17</f>
        <v/>
      </c>
      <c r="N18" s="18">
        <f>N14-N15-N16-N17</f>
        <v/>
      </c>
    </row>
    <row r="19">
      <c r="A19" s="2" t="inlineStr">
        <is>
          <t>Постоянные расходы и инвестиции</t>
        </is>
      </c>
      <c r="B19" s="16">
        <f>SUM(C19:N19)</f>
        <v/>
      </c>
      <c r="C19" s="12">
        <f>SUM(C3:C7)</f>
        <v/>
      </c>
      <c r="D19" s="12">
        <f>SUM(D3:D7)</f>
        <v/>
      </c>
      <c r="E19" s="12">
        <f>SUM(E3:E7)</f>
        <v/>
      </c>
      <c r="F19" s="12">
        <f>SUM(F3:F7)</f>
        <v/>
      </c>
      <c r="G19" s="12">
        <f>SUM(G3:G7)</f>
        <v/>
      </c>
      <c r="H19" s="12">
        <f>SUM(H3:H7)</f>
        <v/>
      </c>
      <c r="I19" s="12">
        <f>SUM(I3:I7)</f>
        <v/>
      </c>
      <c r="J19" s="12">
        <f>SUM(J3:J7)</f>
        <v/>
      </c>
      <c r="K19" s="12">
        <f>SUM(K3:K7)</f>
        <v/>
      </c>
      <c r="L19" s="12">
        <f>SUM(L3:L7)</f>
        <v/>
      </c>
      <c r="M19" s="12">
        <f>SUM(M3:M7)</f>
        <v/>
      </c>
      <c r="N19" s="12">
        <f>SUM(N3:N7)</f>
        <v/>
      </c>
    </row>
    <row r="20">
      <c r="A20" s="17" t="inlineStr">
        <is>
          <t>Результат месяца</t>
        </is>
      </c>
      <c r="B20" s="5">
        <f>SUM(C20:N20)</f>
        <v/>
      </c>
      <c r="C20" s="18">
        <f>C18-C19</f>
        <v/>
      </c>
      <c r="D20" s="18">
        <f>D18-D19</f>
        <v/>
      </c>
      <c r="E20" s="18">
        <f>E18-E19</f>
        <v/>
      </c>
      <c r="F20" s="18">
        <f>F18-F19</f>
        <v/>
      </c>
      <c r="G20" s="18">
        <f>G18-G19</f>
        <v/>
      </c>
      <c r="H20" s="18">
        <f>H18-H19</f>
        <v/>
      </c>
      <c r="I20" s="18">
        <f>I18-I19</f>
        <v/>
      </c>
      <c r="J20" s="18">
        <f>J18-J19</f>
        <v/>
      </c>
      <c r="K20" s="18">
        <f>K18-K19</f>
        <v/>
      </c>
      <c r="L20" s="18">
        <f>L18-L19</f>
        <v/>
      </c>
      <c r="M20" s="18">
        <f>M18-M19</f>
        <v/>
      </c>
      <c r="N20" s="18">
        <f>N18-N19</f>
        <v/>
      </c>
    </row>
    <row r="21">
      <c r="A21" s="17" t="inlineStr">
        <is>
          <t>Деньги на конец месяца</t>
        </is>
      </c>
      <c r="B21" s="5">
        <f>N21</f>
        <v/>
      </c>
      <c r="C21" s="18">
        <f>'Допущения'!$E$18+C20</f>
        <v/>
      </c>
      <c r="D21" s="18">
        <f>C21+D20</f>
        <v/>
      </c>
      <c r="E21" s="18">
        <f>D21+E20</f>
        <v/>
      </c>
      <c r="F21" s="18">
        <f>E21+F20</f>
        <v/>
      </c>
      <c r="G21" s="18">
        <f>F21+G20</f>
        <v/>
      </c>
      <c r="H21" s="18">
        <f>G21+H20</f>
        <v/>
      </c>
      <c r="I21" s="18">
        <f>H21+I20</f>
        <v/>
      </c>
      <c r="J21" s="18">
        <f>I21+J20</f>
        <v/>
      </c>
      <c r="K21" s="18">
        <f>J21+K20</f>
        <v/>
      </c>
      <c r="L21" s="18">
        <f>K21+L20</f>
        <v/>
      </c>
      <c r="M21" s="18">
        <f>L21+M20</f>
        <v/>
      </c>
      <c r="N21" s="18">
        <f>M21+N20</f>
        <v/>
      </c>
    </row>
    <row r="22">
      <c r="A22" s="2" t="inlineStr">
        <is>
          <t>Нужно курьеров</t>
        </is>
      </c>
      <c r="B22" s="16">
        <f>N22</f>
        <v/>
      </c>
      <c r="C22" s="12">
        <f>MAX(2,ROUNDUP(C10/'Допущения'!$E$17,0))</f>
        <v/>
      </c>
      <c r="D22" s="12">
        <f>MAX(2,ROUNDUP(D10/'Допущения'!$E$17,0))</f>
        <v/>
      </c>
      <c r="E22" s="12">
        <f>MAX(2,ROUNDUP(E10/'Допущения'!$E$17,0))</f>
        <v/>
      </c>
      <c r="F22" s="12">
        <f>MAX(2,ROUNDUP(F10/'Допущения'!$E$17,0))</f>
        <v/>
      </c>
      <c r="G22" s="12">
        <f>MAX(2,ROUNDUP(G10/'Допущения'!$E$17,0))</f>
        <v/>
      </c>
      <c r="H22" s="12">
        <f>MAX(2,ROUNDUP(H10/'Допущения'!$E$17,0))</f>
        <v/>
      </c>
      <c r="I22" s="12">
        <f>MAX(2,ROUNDUP(I10/'Допущения'!$E$17,0))</f>
        <v/>
      </c>
      <c r="J22" s="12">
        <f>MAX(2,ROUNDUP(J10/'Допущения'!$E$17,0))</f>
        <v/>
      </c>
      <c r="K22" s="12">
        <f>MAX(2,ROUNDUP(K10/'Допущения'!$E$17,0))</f>
        <v/>
      </c>
      <c r="L22" s="12">
        <f>MAX(2,ROUNDUP(L10/'Допущения'!$E$17,0))</f>
        <v/>
      </c>
      <c r="M22" s="12">
        <f>MAX(2,ROUNDUP(M10/'Допущения'!$E$17,0))</f>
        <v/>
      </c>
      <c r="N22" s="12">
        <f>MAX(2,ROUNDUP(N10/'Допущения'!$E$17,0))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13" t="inlineStr">
        <is>
          <t>Итоги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Расходы бюджета за М1–М6 (маркетинг, разработка, гарантия, сервер)</t>
        </is>
      </c>
      <c r="B25" s="16">
        <f>SUM(C19:H19)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Минимум денег на счёте за 12 мес</t>
        </is>
      </c>
      <c r="B26" s="16">
        <f>MIN(C21:N21)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Деньги на конец М6</t>
        </is>
      </c>
      <c r="B27" s="16">
        <f>H21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Первый месяц с плюсом (результат &gt; 0)</t>
        </is>
      </c>
      <c r="B28" s="16">
        <f>IFERROR(MATCH(TRUE,INDEX(C20:N20&gt;0,0),0),"нет за 12 мес")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Вложенные 500к вернулись (деньги ≥ старт), месяц</t>
        </is>
      </c>
      <c r="B29" s="16">
        <f>IFERROR(MATCH(TRUE,INDEX(C21:N21&gt;='Допущения'!$E$18,0),0),"нет за 12 мес")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inlineStr">
        <is>
          <t>Активных пользователей к М6</t>
        </is>
      </c>
      <c r="B30" s="16">
        <f>H9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Выручка за 12 мес</t>
        </is>
      </c>
      <c r="B31" s="16">
        <f>B14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</cols>
  <sheetData>
    <row r="1">
      <c r="A1" s="1" t="inlineStr">
        <is>
          <t>Как тратим 500 тыс. за 6 месяцев</t>
        </is>
      </c>
      <c r="B1" s="2" t="n"/>
      <c r="C1" s="2" t="n"/>
    </row>
    <row r="2">
      <c r="A2" s="15" t="inlineStr">
        <is>
          <t>Статья</t>
        </is>
      </c>
      <c r="B2" s="15" t="inlineStr">
        <is>
          <t>Сумма, ₽</t>
        </is>
      </c>
      <c r="C2" s="15" t="inlineStr">
        <is>
          <t>Комментарий</t>
        </is>
      </c>
    </row>
    <row r="3">
      <c r="A3" s="2" t="inlineStr">
        <is>
          <t>Разработка MVP</t>
        </is>
      </c>
      <c r="B3" s="12">
        <f>SUM('Фин модель (12 мес)'!C4:H4)</f>
        <v/>
      </c>
      <c r="C3" s="2" t="inlineStr">
        <is>
          <t>боты клиента, магазина, курьера; ИИ-разбор; подключение прайсов</t>
        </is>
      </c>
    </row>
    <row r="4">
      <c r="A4" s="2" t="inlineStr">
        <is>
          <t>Маркетинг</t>
        </is>
      </c>
      <c r="B4" s="12">
        <f>SUM('Фин модель (12 мес)'!C3:H3)</f>
        <v/>
      </c>
      <c r="C4" s="2" t="inlineStr">
        <is>
          <t>QR в магазинах, паблики, листовки, первая доставка бесплатно</t>
        </is>
      </c>
    </row>
    <row r="5">
      <c r="A5" s="2" t="inlineStr">
        <is>
          <t>Гарантия курьерам</t>
        </is>
      </c>
      <c r="B5" s="12">
        <f>SUM('Фин модель (12 мес)'!C5:H5)</f>
        <v/>
      </c>
      <c r="C5" s="2" t="inlineStr">
        <is>
          <t>минимальный доход 2 курьерам на пилоте</t>
        </is>
      </c>
    </row>
    <row r="6">
      <c r="A6" s="2" t="inlineStr">
        <is>
          <t>Сервер, API (фикс.)</t>
        </is>
      </c>
      <c r="B6" s="12">
        <f>SUM('Фин модель (12 мес)'!C6:H6)</f>
        <v/>
      </c>
      <c r="C6" s="2" t="inlineStr">
        <is>
          <t>переменная часть ИИ (~3 ₽/заказ) покрывается выручкой</t>
        </is>
      </c>
    </row>
    <row r="7">
      <c r="A7" s="13" t="inlineStr">
        <is>
          <t>Итого из бюджета</t>
        </is>
      </c>
      <c r="B7" s="16">
        <f>SUM(B3:B6)</f>
        <v/>
      </c>
      <c r="C7" s="2" t="inlineStr"/>
    </row>
    <row r="8">
      <c r="A8" s="2" t="inlineStr">
        <is>
          <t>Резерв</t>
        </is>
      </c>
      <c r="B8" s="12">
        <f>'Допущения'!$E$18-B7</f>
        <v/>
      </c>
      <c r="C8" s="2" t="inlineStr">
        <is>
          <t>подушка на случай пессимистичного сценария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2026-10-11T11:18:55Z</dcterms:created>
  <dcterms:modified xmlns:dcterms="http://purl.org/dc/terms/" xmlns:xsi="http://www.w3.org/2001/XMLSchema-instance" xsi:type="dcterms:W3CDTF">2026-10-11T11:18:56Z</dcterms:modified>
</cp:coreProperties>
</file>