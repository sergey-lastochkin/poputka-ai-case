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Сценарии" sheetId="1" state="visible" r:id="rId1"/>
    <sheet xmlns:r="http://schemas.openxmlformats.org/officeDocument/2006/relationships" name="Допущения" sheetId="2" state="visible" r:id="rId2"/>
    <sheet xmlns:r="http://schemas.openxmlformats.org/officeDocument/2006/relationships" name="Юнит-экономика" sheetId="3" state="visible" r:id="rId3"/>
    <sheet xmlns:r="http://schemas.openxmlformats.org/officeDocument/2006/relationships" name="Фин модель (12 мес)" sheetId="4" state="visible" r:id="rId4"/>
    <sheet xmlns:r="http://schemas.openxmlformats.org/officeDocument/2006/relationships" name="Бюджет 500к" sheetId="5" state="visible" r:id="rId5"/>
  </sheets>
  <definedNames/>
</workbook>
</file>

<file path=xl/styles.xml><?xml version="1.0" encoding="utf-8"?>
<styleSheet xmlns="http://schemas.openxmlformats.org/spreadsheetml/2006/main">
  <numFmts count="6">
    <numFmt numFmtId="164" formatCode="0.0%"/>
    <numFmt numFmtId="165" formatCode="0.0"/>
    <numFmt numFmtId="166" formatCode="#,##0;(#,##0);&quot;—&quot;"/>
    <numFmt numFmtId="167" formatCode="&quot;М&quot;0"/>
    <numFmt numFmtId="168" formatCode="#,##0.0"/>
    <numFmt numFmtId="169" formatCode="#,##0.00;(#,##0.00);&quot;—&quot;"/>
  </numFmts>
  <fonts count="13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</font>
    <font>
      <name val="Times New Roman"/>
      <sz val="11"/>
    </font>
    <font>
      <name val="Times New Roman"/>
      <b val="1"/>
      <sz val="11"/>
    </font>
    <font>
      <name val="Times New Roman"/>
    </font>
    <font>
      <name val="Arial"/>
      <b val="1"/>
      <sz val="11"/>
    </font>
    <font>
      <name val="Arial"/>
      <sz val="11"/>
    </font>
    <font>
      <name val="Calibri"/>
      <family val="2"/>
      <color rgb="FF0000FF"/>
      <sz val="11"/>
      <scheme val="minor"/>
    </font>
    <font>
      <name val="Arial"/>
      <color rgb="FF000000"/>
      <sz val="11"/>
    </font>
    <font>
      <name val="Calibri"/>
      <family val="2"/>
      <color theme="1"/>
      <sz val="10"/>
      <scheme val="minor"/>
    </font>
    <font>
      <name val="Arial"/>
      <b val="1"/>
      <sz val="15"/>
    </font>
    <font>
      <name val="Calibri"/>
      <family val="2"/>
      <color rgb="FF008000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3" fontId="3" fillId="2" borderId="0" pivotButton="0" quotePrefix="0" xfId="0"/>
    <xf numFmtId="3" fontId="4" fillId="3" borderId="0" pivotButton="0" quotePrefix="0" xfId="0"/>
    <xf numFmtId="9" fontId="3" fillId="2" borderId="0" pivotButton="0" quotePrefix="0" xfId="0"/>
    <xf numFmtId="9" fontId="4" fillId="3" borderId="0" pivotButton="0" quotePrefix="0" xfId="0"/>
    <xf numFmtId="164" fontId="3" fillId="2" borderId="0" pivotButton="0" quotePrefix="0" xfId="0"/>
    <xf numFmtId="164" fontId="4" fillId="3" borderId="0" pivotButton="0" quotePrefix="0" xfId="0"/>
    <xf numFmtId="165" fontId="3" fillId="2" borderId="0" pivotButton="0" quotePrefix="0" xfId="0"/>
    <xf numFmtId="165" fontId="4" fillId="3" borderId="0" pivotButton="0" quotePrefix="0" xfId="0"/>
    <xf numFmtId="3" fontId="3" fillId="0" borderId="0" pivotButton="0" quotePrefix="0" xfId="0"/>
    <xf numFmtId="0" fontId="4" fillId="0" borderId="0" pivotButton="0" quotePrefix="0" xfId="0"/>
    <xf numFmtId="165" fontId="3" fillId="0" borderId="0" pivotButton="0" quotePrefix="0" xfId="0"/>
    <xf numFmtId="0" fontId="4" fillId="4" borderId="0" pivotButton="0" quotePrefix="0" xfId="0"/>
    <xf numFmtId="3" fontId="4" fillId="0" borderId="0" pivotButton="0" quotePrefix="0" xfId="0"/>
    <xf numFmtId="0" fontId="4" fillId="3" borderId="0" pivotButton="0" quotePrefix="0" xfId="0"/>
    <xf numFmtId="3" fontId="3" fillId="3" borderId="0" pivotButton="0" quotePrefix="0" xfId="0"/>
    <xf numFmtId="0" fontId="5" fillId="0" borderId="0" pivotButton="0" quotePrefix="0" xfId="0"/>
    <xf numFmtId="0" fontId="2" fillId="4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7" fillId="2" borderId="0" pivotButton="0" quotePrefix="0" xfId="0"/>
    <xf numFmtId="3" fontId="7" fillId="2" borderId="0" pivotButton="0" quotePrefix="0" xfId="0"/>
    <xf numFmtId="3" fontId="6" fillId="3" borderId="0" pivotButton="0" quotePrefix="0" xfId="0"/>
    <xf numFmtId="9" fontId="7" fillId="2" borderId="0" pivotButton="0" quotePrefix="0" xfId="0"/>
    <xf numFmtId="9" fontId="6" fillId="3" borderId="0" pivotButton="0" quotePrefix="0" xfId="0"/>
    <xf numFmtId="164" fontId="7" fillId="2" borderId="0" pivotButton="0" quotePrefix="0" xfId="0"/>
    <xf numFmtId="164" fontId="6" fillId="3" borderId="0" pivotButton="0" quotePrefix="0" xfId="0"/>
    <xf numFmtId="165" fontId="7" fillId="2" borderId="0" pivotButton="0" quotePrefix="0" xfId="0"/>
    <xf numFmtId="165" fontId="6" fillId="3" borderId="0" pivotButton="0" quotePrefix="0" xfId="0"/>
    <xf numFmtId="0" fontId="6" fillId="4" borderId="0" pivotButton="0" quotePrefix="0" xfId="0"/>
    <xf numFmtId="3" fontId="6" fillId="0" borderId="0" pivotButton="0" quotePrefix="0" xfId="0"/>
    <xf numFmtId="3" fontId="7" fillId="0" borderId="0" pivotButton="0" quotePrefix="0" xfId="0"/>
    <xf numFmtId="0" fontId="6" fillId="3" borderId="0" pivotButton="0" quotePrefix="0" xfId="0"/>
    <xf numFmtId="3" fontId="7" fillId="3" borderId="0" pivotButton="0" quotePrefix="0" xfId="0"/>
    <xf numFmtId="165" fontId="7" fillId="0" borderId="0" pivotButton="0" quotePrefix="0" xfId="0"/>
    <xf numFmtId="0" fontId="7" fillId="0" borderId="0" applyAlignment="1" pivotButton="0" quotePrefix="0" xfId="0">
      <alignment wrapText="1"/>
    </xf>
    <xf numFmtId="3" fontId="7" fillId="2" borderId="0" applyAlignment="1" pivotButton="0" quotePrefix="0" xfId="0">
      <alignment wrapText="1"/>
    </xf>
    <xf numFmtId="3" fontId="6" fillId="3" borderId="0" applyAlignment="1" pivotButton="0" quotePrefix="0" xfId="0">
      <alignment wrapText="1"/>
    </xf>
    <xf numFmtId="9" fontId="7" fillId="2" borderId="0" applyAlignment="1" pivotButton="0" quotePrefix="0" xfId="0">
      <alignment wrapText="1"/>
    </xf>
    <xf numFmtId="9" fontId="6" fillId="3" borderId="0" applyAlignment="1" pivotButton="0" quotePrefix="0" xfId="0">
      <alignment wrapText="1"/>
    </xf>
    <xf numFmtId="164" fontId="7" fillId="2" borderId="0" applyAlignment="1" pivotButton="0" quotePrefix="0" xfId="0">
      <alignment wrapText="1"/>
    </xf>
    <xf numFmtId="164" fontId="6" fillId="3" borderId="0" applyAlignment="1" pivotButton="0" quotePrefix="0" xfId="0">
      <alignment wrapText="1"/>
    </xf>
    <xf numFmtId="165" fontId="7" fillId="2" borderId="0" applyAlignment="1" pivotButton="0" quotePrefix="0" xfId="0">
      <alignment wrapText="1"/>
    </xf>
    <xf numFmtId="165" fontId="6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8" fillId="5" borderId="0" applyAlignment="1" pivotButton="0" quotePrefix="0" xfId="0">
      <alignment wrapText="1"/>
    </xf>
    <xf numFmtId="3" fontId="7" fillId="6" borderId="0" applyAlignment="1" pivotButton="0" quotePrefix="0" xfId="0">
      <alignment wrapText="1"/>
    </xf>
    <xf numFmtId="3" fontId="9" fillId="6" borderId="0" applyAlignment="1" pivotButton="0" quotePrefix="0" xfId="0">
      <alignment wrapText="1"/>
    </xf>
    <xf numFmtId="0" fontId="0" fillId="7" borderId="0" applyAlignment="1" pivotButton="0" quotePrefix="0" xfId="0">
      <alignment wrapText="1"/>
    </xf>
    <xf numFmtId="165" fontId="8" fillId="5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0" fontId="6" fillId="4" borderId="0" applyAlignment="1" pivotButton="0" quotePrefix="0" xfId="0">
      <alignment wrapText="1"/>
    </xf>
    <xf numFmtId="0" fontId="6" fillId="3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166" fontId="6" fillId="0" borderId="0" pivotButton="0" quotePrefix="0" xfId="0"/>
    <xf numFmtId="166" fontId="7" fillId="2" borderId="0" pivotButton="0" quotePrefix="0" xfId="0"/>
    <xf numFmtId="166" fontId="7" fillId="0" borderId="0" pivotButton="0" quotePrefix="0" xfId="0"/>
    <xf numFmtId="166" fontId="6" fillId="3" borderId="0" pivotButton="0" quotePrefix="0" xfId="0"/>
    <xf numFmtId="166" fontId="7" fillId="3" borderId="0" pivotButton="0" quotePrefix="0" xfId="0"/>
    <xf numFmtId="167" fontId="6" fillId="0" borderId="0" pivotButton="0" quotePrefix="0" xfId="0"/>
    <xf numFmtId="166" fontId="0" fillId="0" borderId="0" pivotButton="0" quotePrefix="0" xfId="0"/>
    <xf numFmtId="9" fontId="7" fillId="0" borderId="0" pivotButton="0" quotePrefix="0" xfId="0"/>
    <xf numFmtId="168" fontId="7" fillId="0" borderId="0" pivotButton="0" quotePrefix="0" xfId="0"/>
    <xf numFmtId="1" fontId="7" fillId="0" borderId="0" pivotButton="0" quotePrefix="0" xfId="0"/>
    <xf numFmtId="0" fontId="0" fillId="5" borderId="0" pivotButton="0" quotePrefix="0" xfId="0"/>
    <xf numFmtId="0" fontId="8" fillId="5" borderId="0" pivotButton="0" quotePrefix="0" xfId="0"/>
    <xf numFmtId="0" fontId="10" fillId="0" borderId="0" applyAlignment="1" pivotButton="0" quotePrefix="0" xfId="0">
      <alignment wrapText="1"/>
    </xf>
    <xf numFmtId="0" fontId="10" fillId="0" borderId="0" pivotButton="0" quotePrefix="0" xfId="0"/>
    <xf numFmtId="169" fontId="7" fillId="0" borderId="0" pivotButton="0" quotePrefix="0" xfId="0"/>
    <xf numFmtId="169" fontId="6" fillId="3" borderId="0" pivotButton="0" quotePrefix="0" xfId="0"/>
    <xf numFmtId="2" fontId="6" fillId="3" borderId="0" pivotButton="0" quotePrefix="0" xfId="0"/>
    <xf numFmtId="2" fontId="7" fillId="0" borderId="0" pivotButton="0" quotePrefix="0" xfId="0"/>
    <xf numFmtId="3" fontId="6" fillId="3" borderId="0" pivotButton="0" quotePrefix="0" xfId="0"/>
    <xf numFmtId="0" fontId="11" fillId="0" borderId="0" pivotButton="0" quotePrefix="0" xfId="0"/>
    <xf numFmtId="166" fontId="7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9" fontId="7" fillId="0" borderId="0" applyAlignment="1" pivotButton="0" quotePrefix="0" xfId="0">
      <alignment wrapText="1"/>
    </xf>
    <xf numFmtId="2" fontId="6" fillId="0" borderId="0" applyAlignment="1" pivotButton="0" quotePrefix="0" xfId="0">
      <alignment wrapText="1"/>
    </xf>
    <xf numFmtId="167" fontId="7" fillId="0" borderId="0" applyAlignment="1" pivotButton="0" quotePrefix="0" xfId="0">
      <alignment wrapText="1"/>
    </xf>
    <xf numFmtId="167" fontId="6" fillId="0" borderId="0" applyAlignment="1" pivotButton="0" quotePrefix="0" xfId="0">
      <alignment wrapText="1"/>
    </xf>
    <xf numFmtId="3" fontId="7" fillId="0" borderId="0" applyAlignment="1" pivotButton="0" quotePrefix="0" xfId="0">
      <alignment wrapText="1"/>
    </xf>
    <xf numFmtId="3" fontId="6" fillId="0" borderId="0" applyAlignment="1" pivotButton="0" quotePrefix="0" xfId="0">
      <alignment wrapText="1"/>
    </xf>
    <xf numFmtId="0" fontId="12" fillId="0" borderId="0" pivotButton="0" quotePrefix="0" xfId="0"/>
    <xf numFmtId="166" fontId="7" fillId="0" borderId="0" applyAlignment="1" pivotButton="0" quotePrefix="0" xfId="0">
      <alignment wrapText="1"/>
    </xf>
    <xf numFmtId="9" fontId="7" fillId="0" borderId="0" applyAlignment="1" pivotButton="0" quotePrefix="0" xfId="0">
      <alignment wrapText="1"/>
    </xf>
    <xf numFmtId="2" fontId="6" fillId="0" borderId="0" applyAlignment="1" pivotButton="0" quotePrefix="0" xfId="0">
      <alignment wrapText="1"/>
    </xf>
    <xf numFmtId="167" fontId="7" fillId="0" borderId="0" applyAlignment="1" pivotButton="0" quotePrefix="0" xfId="0">
      <alignment wrapText="1"/>
    </xf>
    <xf numFmtId="167" fontId="6" fillId="0" borderId="0" applyAlignment="1" pivotButton="0" quotePrefix="0" xfId="0">
      <alignment wrapText="1"/>
    </xf>
    <xf numFmtId="169" fontId="7" fillId="0" borderId="0" pivotButton="0" quotePrefix="0" xfId="0"/>
    <xf numFmtId="169" fontId="6" fillId="3" borderId="0" pivotButton="0" quotePrefix="0" xfId="0"/>
    <xf numFmtId="2" fontId="6" fillId="3" borderId="0" pivotButton="0" quotePrefix="0" xfId="0"/>
    <xf numFmtId="2" fontId="7" fillId="0" borderId="0" pivotButton="0" quotePrefix="0" xfId="0"/>
    <xf numFmtId="166" fontId="6" fillId="0" borderId="0" pivotButton="0" quotePrefix="0" xfId="0"/>
    <xf numFmtId="166" fontId="7" fillId="2" borderId="0" pivotButton="0" quotePrefix="0" xfId="0"/>
    <xf numFmtId="168" fontId="7" fillId="0" borderId="0" pivotButton="0" quotePrefix="0" xfId="0"/>
    <xf numFmtId="166" fontId="7" fillId="0" borderId="0" pivotButton="0" quotePrefix="0" xfId="0"/>
    <xf numFmtId="166" fontId="6" fillId="3" borderId="0" pivotButton="0" quotePrefix="0" xfId="0"/>
    <xf numFmtId="166" fontId="7" fillId="3" borderId="0" pivotButton="0" quotePrefix="0" xfId="0"/>
    <xf numFmtId="1" fontId="7" fillId="0" borderId="0" pivotButton="0" quotePrefix="0" xfId="0"/>
    <xf numFmtId="9" fontId="7" fillId="0" borderId="0" pivotButton="0" quotePrefix="0" xfId="0"/>
    <xf numFmtId="167" fontId="6" fillId="0" borderId="0" pivotButton="0" quotePrefix="0" xfId="0"/>
    <xf numFmtId="166" fontId="0" fillId="0" borderId="0" pivotButton="0" quotePrefix="0" xfId="0"/>
    <xf numFmtId="166" fontId="6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8" customWidth="1" min="2" max="2"/>
    <col width="18" customWidth="1" min="3" max="3"/>
    <col width="18" customWidth="1" min="4" max="4"/>
  </cols>
  <sheetData>
    <row r="1" ht="32" customHeight="1">
      <c r="A1" s="78" t="inlineStr">
        <is>
          <t>Попутчик: результаты выбранного сценария</t>
        </is>
      </c>
    </row>
    <row r="2" ht="32" customHeight="1">
      <c r="A2" s="39" t="inlineStr">
        <is>
          <t>Три сценария переключаются на листе «Допущения», ячейка B2.</t>
        </is>
      </c>
    </row>
    <row r="3" ht="32" customHeight="1">
      <c r="A3" s="56" t="inlineStr">
        <is>
          <t>Показатель</t>
        </is>
      </c>
      <c r="B3" s="56">
        <f>CHOOSE('Допущения'!$B$2,"Пессимист","База","Оптимист")</f>
        <v/>
      </c>
    </row>
    <row r="4" ht="32" customHeight="1">
      <c r="A4" s="39" t="inlineStr">
        <is>
          <t>Средний чек, ₽</t>
        </is>
      </c>
      <c r="B4" s="88">
        <f>'Допущения'!E6</f>
        <v/>
      </c>
    </row>
    <row r="5" ht="32" customHeight="1">
      <c r="A5" s="39" t="inlineStr">
        <is>
          <t>Курьер за заказ, ₽</t>
        </is>
      </c>
      <c r="B5" s="88">
        <f>'Допущения'!E11</f>
        <v/>
      </c>
    </row>
    <row r="6" ht="32" customHeight="1">
      <c r="A6" s="39" t="inlineStr">
        <is>
          <t>Удержание активных месяц к месяцу</t>
        </is>
      </c>
      <c r="B6" s="89">
        <f>'Допущения'!E14</f>
        <v/>
      </c>
    </row>
    <row r="7" ht="32" customHeight="1">
      <c r="A7" s="39" t="inlineStr">
        <is>
          <t>CAC, ₽</t>
        </is>
      </c>
      <c r="B7" s="88">
        <f>'Допущения'!E15</f>
        <v/>
      </c>
    </row>
    <row r="8" ht="32" customHeight="1">
      <c r="A8" s="39" t="inlineStr">
        <is>
          <t>Выручка с заказа, ₽</t>
        </is>
      </c>
      <c r="B8" s="88">
        <f>'Юнит-экономика'!B5</f>
        <v/>
      </c>
    </row>
    <row r="9" ht="32" customHeight="1">
      <c r="A9" s="39" t="inlineStr">
        <is>
          <t>Маржа с заказа, ₽</t>
        </is>
      </c>
      <c r="B9" s="88">
        <f>'Юнит-экономика'!B10</f>
        <v/>
      </c>
    </row>
    <row r="10" ht="32" customHeight="1">
      <c r="A10" s="39" t="inlineStr">
        <is>
          <t>LTV по марже, ₽</t>
        </is>
      </c>
      <c r="B10" s="88">
        <f>'Юнит-экономика'!B13</f>
        <v/>
      </c>
    </row>
    <row r="11" ht="32" customHeight="1">
      <c r="A11" s="58" t="inlineStr">
        <is>
          <t>LTV / CAC</t>
        </is>
      </c>
      <c r="B11" s="90">
        <f>'Юнит-экономика'!B15</f>
        <v/>
      </c>
    </row>
    <row r="12" ht="32" customHeight="1">
      <c r="A12" s="39" t="inlineStr">
        <is>
          <t>Активных пользователей к М6</t>
        </is>
      </c>
      <c r="B12" s="88">
        <f>'Фин модель (12 мес)'!B30</f>
        <v/>
      </c>
    </row>
    <row r="13" ht="32" customHeight="1">
      <c r="A13" s="39" t="inlineStr">
        <is>
          <t>Первый месяц с положительным результатом</t>
        </is>
      </c>
      <c r="B13" s="91">
        <f>'Фин модель (12 мес)'!B28</f>
        <v/>
      </c>
    </row>
    <row r="14" ht="32" customHeight="1">
      <c r="A14" s="58" t="inlineStr">
        <is>
          <t>Накопленный результат ≥0: месяц</t>
        </is>
      </c>
      <c r="B14" s="92">
        <f>'Фин модель (12 мес)'!B29</f>
        <v/>
      </c>
    </row>
    <row r="15" ht="32" customHeight="1">
      <c r="A15" s="39" t="inlineStr">
        <is>
          <t>Минимум денег за 12 месяцев, ₽</t>
        </is>
      </c>
      <c r="B15" s="88">
        <f>'Фин модель (12 мес)'!B26</f>
        <v/>
      </c>
    </row>
    <row r="16" ht="32" customHeight="1">
      <c r="A16" s="39" t="inlineStr">
        <is>
          <t>Деньги на конец М6, ₽</t>
        </is>
      </c>
      <c r="B16" s="88">
        <f>'Фин модель (12 мес)'!B27</f>
        <v/>
      </c>
    </row>
    <row r="17" ht="32" customHeight="1">
      <c r="A17" s="39" t="inlineStr">
        <is>
          <t>Массовый маркетинг после пилота</t>
        </is>
      </c>
      <c r="B17" s="39">
        <f>IF('Допущения'!E22=1,"разрешён в прогнозе","остановлен")</f>
        <v/>
      </c>
    </row>
    <row r="18">
      <c r="A18" s="23" t="n"/>
      <c r="B18" s="23" t="n"/>
      <c r="C18" s="23" t="n"/>
      <c r="D18" s="23" t="n"/>
    </row>
    <row r="19" ht="26" customHeight="1">
      <c r="A19" s="39" t="inlineStr">
        <is>
          <t>Все значения — прогноз. М1: разработка; М2: пилот и половина месяца продаж. Массовое привлечение с М3 только после проверки пилота.</t>
        </is>
      </c>
    </row>
    <row r="20" ht="26" customHeight="1"/>
    <row r="21" ht="26" customHeight="1">
      <c r="A21" s="48" t="n"/>
      <c r="B21" s="48" t="n"/>
      <c r="C21" s="48" t="n"/>
      <c r="D21" s="48" t="n"/>
    </row>
    <row r="22" ht="26" customHeight="1">
      <c r="A22" s="48" t="inlineStr">
        <is>
          <t>Результат до налогов и возвратов. Зарплата команды в модели равна нулю. Остаток 500 тыс. ₽ означает покрытие накопленных расходов, а не заработанные 500 тыс. ₽.</t>
        </is>
      </c>
    </row>
    <row r="23" ht="26" customHeight="1"/>
  </sheetData>
  <mergeCells count="19">
    <mergeCell ref="B11:D11"/>
    <mergeCell ref="B14:D14"/>
    <mergeCell ref="B8:D8"/>
    <mergeCell ref="B17:D17"/>
    <mergeCell ref="B13:D13"/>
    <mergeCell ref="B10:D10"/>
    <mergeCell ref="B9:D9"/>
    <mergeCell ref="B15:D15"/>
    <mergeCell ref="B6:D6"/>
    <mergeCell ref="A1:D1"/>
    <mergeCell ref="B5:D5"/>
    <mergeCell ref="A22:D23"/>
    <mergeCell ref="B4:D4"/>
    <mergeCell ref="B7:D7"/>
    <mergeCell ref="A19:D20"/>
    <mergeCell ref="B16:D16"/>
    <mergeCell ref="B3:D3"/>
    <mergeCell ref="A2:D2"/>
    <mergeCell ref="B12:D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17" customWidth="1" min="2" max="2"/>
    <col width="17" customWidth="1" min="3" max="3"/>
    <col width="17" customWidth="1" min="4" max="4"/>
    <col width="17" customWidth="1" min="5" max="5"/>
    <col width="54" customWidth="1" min="6" max="6"/>
  </cols>
  <sheetData>
    <row r="1">
      <c r="A1" s="22" t="inlineStr">
        <is>
          <t>Попутчик: допущения</t>
        </is>
      </c>
      <c r="B1" s="23" t="n"/>
      <c r="C1" s="23" t="n"/>
      <c r="D1" s="23" t="n"/>
      <c r="E1" s="23" t="n"/>
      <c r="F1" s="23" t="n"/>
    </row>
    <row r="2">
      <c r="A2" s="23" t="inlineStr">
        <is>
          <t>Сценарий: 1 — пессимист, 2 — база, 3 — оптимист</t>
        </is>
      </c>
      <c r="B2" s="24" t="n">
        <v>2</v>
      </c>
      <c r="C2" s="23" t="n"/>
      <c r="D2" s="23" t="n"/>
      <c r="E2" s="23" t="n"/>
      <c r="F2" s="23" t="n"/>
    </row>
    <row r="3">
      <c r="A3" s="23" t="inlineStr">
        <is>
          <t>Жёлтые ячейки — гипотезы. М1 начинается с разработки.</t>
        </is>
      </c>
    </row>
    <row r="4">
      <c r="A4" s="23" t="n"/>
      <c r="B4" s="23" t="n"/>
      <c r="C4" s="23" t="n"/>
      <c r="D4" s="23" t="n"/>
      <c r="E4" s="23" t="n"/>
      <c r="F4" s="23" t="n"/>
    </row>
    <row r="5" ht="31" customHeight="1">
      <c r="A5" s="39" t="inlineStr">
        <is>
          <t>Параметр</t>
        </is>
      </c>
      <c r="B5" s="39" t="inlineStr">
        <is>
          <t>Пессимист</t>
        </is>
      </c>
      <c r="C5" s="39" t="inlineStr">
        <is>
          <t>База</t>
        </is>
      </c>
      <c r="D5" s="39" t="inlineStr">
        <is>
          <t>Оптимист</t>
        </is>
      </c>
      <c r="E5" s="39" t="inlineStr">
        <is>
          <t>АКТИВНЫЙ</t>
        </is>
      </c>
      <c r="F5" s="39" t="inlineStr">
        <is>
          <t>Комментарий</t>
        </is>
      </c>
    </row>
    <row r="6" ht="31" customHeight="1">
      <c r="A6" s="39" t="inlineStr">
        <is>
          <t>Средний чек товаров, ₽</t>
        </is>
      </c>
      <c r="B6" s="40" t="n">
        <v>1100</v>
      </c>
      <c r="C6" s="40" t="n">
        <v>1200</v>
      </c>
      <c r="D6" s="40" t="n">
        <v>1300</v>
      </c>
      <c r="E6" s="41">
        <f>CHOOSE($B$2,B6,C6,D6)</f>
        <v/>
      </c>
      <c r="F6" s="39" t="inlineStr">
        <is>
          <t>корзина из 1–3 магазинов</t>
        </is>
      </c>
    </row>
    <row r="7" ht="31" customHeight="1">
      <c r="A7" s="39" t="inlineStr">
        <is>
          <t>Доставка с клиента, ₽</t>
        </is>
      </c>
      <c r="B7" s="40" t="n">
        <v>99</v>
      </c>
      <c r="C7" s="40" t="n">
        <v>99</v>
      </c>
      <c r="D7" s="40" t="n">
        <v>99</v>
      </c>
      <c r="E7" s="41">
        <f>CHOOSE($B$2,B7,C7,D7)</f>
        <v/>
      </c>
      <c r="F7" s="39" t="inlineStr"/>
    </row>
    <row r="8" ht="31" customHeight="1">
      <c r="A8" s="39" t="inlineStr">
        <is>
          <t>Доля заказов с бесплатной доставкой</t>
        </is>
      </c>
      <c r="B8" s="42" t="n">
        <v>0.25</v>
      </c>
      <c r="C8" s="42" t="n">
        <v>0.15</v>
      </c>
      <c r="D8" s="42" t="n">
        <v>0.1</v>
      </c>
      <c r="E8" s="43">
        <f>CHOOSE($B$2,B8,C8,D8)</f>
        <v/>
      </c>
      <c r="F8" s="39" t="inlineStr">
        <is>
          <t>Лимит адресных акций; общей бесплатной первой доставки нет.</t>
        </is>
      </c>
    </row>
    <row r="9" ht="31" customHeight="1">
      <c r="A9" s="39" t="inlineStr">
        <is>
          <t>Комиссия магазина</t>
        </is>
      </c>
      <c r="B9" s="42" t="n">
        <v>0.1</v>
      </c>
      <c r="C9" s="42" t="n">
        <v>0.1</v>
      </c>
      <c r="D9" s="42" t="n">
        <v>0.1</v>
      </c>
      <c r="E9" s="43">
        <f>CHOOSE($B$2,B9,C9,D9)</f>
        <v/>
      </c>
      <c r="F9" s="39" t="inlineStr">
        <is>
          <t>Допущение для переговоров с магазинами.</t>
        </is>
      </c>
    </row>
    <row r="10" ht="31" customHeight="1">
      <c r="A10" s="39" t="inlineStr">
        <is>
          <t>Эквайринг (от оплаты клиента)</t>
        </is>
      </c>
      <c r="B10" s="44" t="n">
        <v>0.025</v>
      </c>
      <c r="C10" s="44" t="n">
        <v>0.025</v>
      </c>
      <c r="D10" s="44" t="n">
        <v>0.025</v>
      </c>
      <c r="E10" s="45">
        <f>CHOOSE($B$2,B10,C10,D10)</f>
        <v/>
      </c>
      <c r="F10" s="39" t="inlineStr">
        <is>
          <t>Расчётная ставка, подтвердить тариф провайдера.</t>
        </is>
      </c>
    </row>
    <row r="11" ht="31" customHeight="1">
      <c r="A11" s="39" t="inlineStr">
        <is>
          <t>Курьер за заказ, ₽</t>
        </is>
      </c>
      <c r="B11" s="52">
        <f>B19/B20</f>
        <v/>
      </c>
      <c r="C11" s="52">
        <f>C19/C20</f>
        <v/>
      </c>
      <c r="D11" s="52">
        <f>D19/D20</f>
        <v/>
      </c>
      <c r="E11" s="41">
        <f>CHOOSE($B$2,B11,C11,D11)</f>
        <v/>
      </c>
      <c r="F11" s="39" t="inlineStr">
        <is>
          <t>Цена рейса / среднее число заказов в рейсе.</t>
        </is>
      </c>
    </row>
    <row r="12" ht="31" customHeight="1">
      <c r="A12" s="39" t="inlineStr">
        <is>
          <t>ИИ на заказ, ₽</t>
        </is>
      </c>
      <c r="B12" s="40" t="n">
        <v>5</v>
      </c>
      <c r="C12" s="40" t="n">
        <v>3</v>
      </c>
      <c r="D12" s="40" t="n">
        <v>3</v>
      </c>
      <c r="E12" s="41">
        <f>CHOOSE($B$2,B12,C12,D12)</f>
        <v/>
      </c>
      <c r="F12" s="39" t="inlineStr">
        <is>
          <t>Переменные вызовы ИИ; фиксированный сервер отдельно.</t>
        </is>
      </c>
    </row>
    <row r="13" ht="31" customHeight="1">
      <c r="A13" s="39" t="inlineStr">
        <is>
          <t>Заказов на активного в месяц</t>
        </is>
      </c>
      <c r="B13" s="46" t="n">
        <v>2</v>
      </c>
      <c r="C13" s="46" t="n">
        <v>3</v>
      </c>
      <c r="D13" s="46" t="n">
        <v>3.5</v>
      </c>
      <c r="E13" s="47">
        <f>CHOOSE($B$2,B13,C13,D13)</f>
        <v/>
      </c>
      <c r="F13" s="39" t="inlineStr">
        <is>
          <t>Частота за полный месяц; в М2 продажи половину месяца.</t>
        </is>
      </c>
    </row>
    <row r="14" ht="31" customHeight="1">
      <c r="A14" s="39" t="inlineStr">
        <is>
          <t>Удержание активных месяц к месяцу</t>
        </is>
      </c>
      <c r="B14" s="42" t="n">
        <v>0.65</v>
      </c>
      <c r="C14" s="42" t="n">
        <v>0.75</v>
      </c>
      <c r="D14" s="42" t="n">
        <v>0.85</v>
      </c>
      <c r="E14" s="43">
        <f>CHOOSE($B$2,B14,C14,D14)</f>
        <v/>
      </c>
      <c r="F14" s="39" t="inlineStr">
        <is>
          <t>Самостоятельная гипотеза; не следует из retention-7.</t>
        </is>
      </c>
    </row>
    <row r="15" ht="31" customHeight="1">
      <c r="A15" s="39" t="inlineStr">
        <is>
          <t>CAC (маркетинг на 1 нового), ₽</t>
        </is>
      </c>
      <c r="B15" s="40" t="n">
        <v>300</v>
      </c>
      <c r="C15" s="40" t="n">
        <v>200</v>
      </c>
      <c r="D15" s="40" t="n">
        <v>130</v>
      </c>
      <c r="E15" s="41">
        <f>CHOOSE($B$2,B15,C15,D15)</f>
        <v/>
      </c>
      <c r="F15" s="39" t="inlineStr">
        <is>
          <t>QR в магазинах, паблики, листовки</t>
        </is>
      </c>
    </row>
    <row r="16" ht="31" customHeight="1">
      <c r="A16" s="39" t="inlineStr">
        <is>
          <t>Рефералы: новые от активных в мес</t>
        </is>
      </c>
      <c r="B16" s="42" t="n">
        <v>0.03</v>
      </c>
      <c r="C16" s="42" t="n">
        <v>0.05</v>
      </c>
      <c r="D16" s="42" t="n">
        <v>0.08</v>
      </c>
      <c r="E16" s="43">
        <f>CHOOSE($B$2,B16,C16,D16)</f>
        <v/>
      </c>
      <c r="F16" s="39" t="inlineStr">
        <is>
          <t>Органические рекомендации; без обещания бесплатной недели.</t>
        </is>
      </c>
    </row>
    <row r="17" ht="31" customHeight="1">
      <c r="A17" s="39" t="inlineStr">
        <is>
          <t>Заказов на 1 курьера в месяц</t>
        </is>
      </c>
      <c r="B17" s="40" t="n">
        <v>650</v>
      </c>
      <c r="C17" s="40" t="n">
        <v>650</v>
      </c>
      <c r="D17" s="40" t="n">
        <v>650</v>
      </c>
      <c r="E17" s="41">
        <f>CHOOSE($B$2,B17,C17,D17)</f>
        <v/>
      </c>
      <c r="F17" s="39" t="inlineStr">
        <is>
          <t>~25 в день × 26 дней</t>
        </is>
      </c>
    </row>
    <row r="18" ht="31" customHeight="1">
      <c r="A18" s="39" t="inlineStr">
        <is>
          <t>Стартовый бюджет, ₽</t>
        </is>
      </c>
      <c r="B18" s="40" t="n">
        <v>500000</v>
      </c>
      <c r="C18" s="40" t="n">
        <v>500000</v>
      </c>
      <c r="D18" s="40" t="n">
        <v>500000</v>
      </c>
      <c r="E18" s="41">
        <f>CHOOSE($B$2,B18,C18,D18)</f>
        <v/>
      </c>
      <c r="F18" s="39" t="inlineStr">
        <is>
          <t>Шесть месяцев с начала разработки, без дополнительных вложений.</t>
        </is>
      </c>
    </row>
    <row r="19" ht="31" customHeight="1">
      <c r="A19" s="48" t="inlineStr">
        <is>
          <t>Стоимость одного рейса, ₽</t>
        </is>
      </c>
      <c r="B19" s="50" t="n">
        <v>300</v>
      </c>
      <c r="C19" s="50" t="n">
        <v>300</v>
      </c>
      <c r="D19" s="50" t="n">
        <v>270</v>
      </c>
      <c r="E19" s="48">
        <f>CHOOSE($B$2,B19,C19,D19)</f>
        <v/>
      </c>
      <c r="F19" s="48" t="inlineStr">
        <is>
          <t>Включает все остановки и ожидание; проверить на пилоте.</t>
        </is>
      </c>
    </row>
    <row r="20" ht="31" customHeight="1">
      <c r="A20" s="48" t="inlineStr">
        <is>
          <t>Среднее число заказов в рейсе</t>
        </is>
      </c>
      <c r="B20" s="54" t="n">
        <v>2.5</v>
      </c>
      <c r="C20" s="54" t="n">
        <v>3</v>
      </c>
      <c r="D20" s="54" t="n">
        <v>3</v>
      </c>
      <c r="E20" s="55">
        <f>CHOOSE($B$2,B20,C20,D20)</f>
        <v/>
      </c>
      <c r="F20" s="48" t="inlineStr">
        <is>
          <t>Для базы: 300 ₽ / 3 заказа = 100 ₽ на заказ.</t>
        </is>
      </c>
    </row>
    <row r="21" ht="31" customHeight="1">
      <c r="A21" s="48" t="inlineStr">
        <is>
          <t>Пилот подтверждён: 1 — да, 0 — нет</t>
        </is>
      </c>
      <c r="B21" s="50" t="n">
        <v>0</v>
      </c>
      <c r="C21" s="50" t="n">
        <v>1</v>
      </c>
      <c r="D21" s="50" t="n">
        <v>1</v>
      </c>
      <c r="E21" s="48">
        <f>CHOOSE($B$2,B21,C21,D21)</f>
        <v/>
      </c>
      <c r="F21" s="48" t="inlineStr">
        <is>
          <t>Прогнозное допущение; 1 не означает проведённый пилот.</t>
        </is>
      </c>
    </row>
    <row r="22" ht="31" customHeight="1">
      <c r="A22" s="48" t="inlineStr">
        <is>
          <t>Массовый маркетинг разрешён: 1 / 0</t>
        </is>
      </c>
      <c r="B22" s="53">
        <f>IF(AND(B21=1,B20&gt;=3,B11&lt;=100),1,0)</f>
        <v/>
      </c>
      <c r="C22" s="53">
        <f>IF(AND(C21=1,C20&gt;=3,C11&lt;=100),1,0)</f>
        <v/>
      </c>
      <c r="D22" s="53">
        <f>IF(AND(D21=1,D20&gt;=3,D11&lt;=100),1,0)</f>
        <v/>
      </c>
      <c r="E22" s="53">
        <f>CHOOSE($B$2,B22,C22,D22)</f>
        <v/>
      </c>
      <c r="F22" s="48" t="inlineStr">
        <is>
          <t>Пилот подтверждён, ≥3 заказа в рейсе, курьер ≤100 ₽.</t>
        </is>
      </c>
    </row>
  </sheetData>
  <mergeCells count="1">
    <mergeCell ref="A3:F3"/>
  </mergeCells>
  <dataValidations count="2">
    <dataValidation sqref="B2" showDropDown="0" showInputMessage="0" showErrorMessage="0" allowBlank="0" type="whole" operator="between">
      <formula1>1</formula1>
      <formula2>3</formula2>
    </dataValidation>
    <dataValidation sqref="B21:D21" showDropDown="0" showInputMessage="0" showErrorMessage="0" allowBlank="0" type="list">
      <formula1>"0,1"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"/>
  <sheetViews>
    <sheetView showGridLines="0" workbookViewId="0">
      <selection activeCell="A1" sqref="A1"/>
    </sheetView>
  </sheetViews>
  <sheetFormatPr baseColWidth="8" defaultRowHeight="15"/>
  <cols>
    <col width="65" customWidth="1" min="1" max="1"/>
    <col width="21" customWidth="1" min="2" max="2"/>
  </cols>
  <sheetData>
    <row r="1">
      <c r="A1" s="22" t="inlineStr">
        <is>
          <t>Попутчик: экономика заказа и клиента</t>
        </is>
      </c>
      <c r="B1" s="23" t="n"/>
    </row>
    <row r="2">
      <c r="A2" s="23" t="n"/>
      <c r="B2" s="23" t="n"/>
    </row>
    <row r="3" ht="29" customHeight="1">
      <c r="A3" s="39" t="inlineStr">
        <is>
          <t>Выручка: доставка (с учётом бесплатных), ₽</t>
        </is>
      </c>
      <c r="B3" s="93">
        <f>'Допущения'!$E$7*(1-'Допущения'!$E$8)</f>
        <v/>
      </c>
    </row>
    <row r="4" ht="29" customHeight="1">
      <c r="A4" s="39" t="inlineStr">
        <is>
          <t>Выручка: комиссия магазина, ₽</t>
        </is>
      </c>
      <c r="B4" s="93">
        <f>'Допущения'!$E$6*'Допущения'!$E$9</f>
        <v/>
      </c>
    </row>
    <row r="5" ht="29" customHeight="1">
      <c r="A5" s="58" t="inlineStr">
        <is>
          <t>Выручка с заказа, ₽</t>
        </is>
      </c>
      <c r="B5" s="94">
        <f>B3+B4</f>
        <v/>
      </c>
    </row>
    <row r="6" ht="29" customHeight="1">
      <c r="A6" s="39" t="inlineStr">
        <is>
          <t>Курьер, ₽</t>
        </is>
      </c>
      <c r="B6" s="93">
        <f>'Допущения'!$E$11</f>
        <v/>
      </c>
    </row>
    <row r="7" ht="29" customHeight="1">
      <c r="A7" s="39" t="inlineStr">
        <is>
          <t>ИИ на заказ, ₽</t>
        </is>
      </c>
      <c r="B7" s="93">
        <f>'Допущения'!$E$12</f>
        <v/>
      </c>
    </row>
    <row r="8" ht="29" customHeight="1">
      <c r="A8" s="39" t="inlineStr">
        <is>
          <t>Эквайринг, ₽</t>
        </is>
      </c>
      <c r="B8" s="93">
        <f>'Допущения'!$E$10*('Допущения'!$E$6+B3)</f>
        <v/>
      </c>
    </row>
    <row r="9" ht="29" customHeight="1">
      <c r="A9" s="39" t="inlineStr">
        <is>
          <t>Переменные расходы на заказ, ₽</t>
        </is>
      </c>
      <c r="B9" s="93">
        <f>B6+B7+B8</f>
        <v/>
      </c>
    </row>
    <row r="10" ht="29" customHeight="1">
      <c r="A10" s="58" t="inlineStr">
        <is>
          <t>Маржа до постоянных расходов и налогов, ₽</t>
        </is>
      </c>
      <c r="B10" s="94">
        <f>B5-B9</f>
        <v/>
      </c>
    </row>
    <row r="11" ht="29" customHeight="1">
      <c r="A11" s="39" t="inlineStr">
        <is>
          <t>Маржа с клиента в месяц, ₽</t>
        </is>
      </c>
      <c r="B11" s="93">
        <f>B10*'Допущения'!$E$13</f>
        <v/>
      </c>
    </row>
    <row r="12" ht="29" customHeight="1">
      <c r="A12" s="39" t="inlineStr">
        <is>
          <t>Срок жизни клиента, мес</t>
        </is>
      </c>
      <c r="B12" s="93">
        <f>1/(1-'Допущения'!$E$14)</f>
        <v/>
      </c>
    </row>
    <row r="13" ht="29" customHeight="1">
      <c r="A13" s="58" t="inlineStr">
        <is>
          <t>LTV (по марже), ₽</t>
        </is>
      </c>
      <c r="B13" s="26">
        <f>B11*B12</f>
        <v/>
      </c>
    </row>
    <row r="14" ht="29" customHeight="1">
      <c r="A14" s="39" t="inlineStr">
        <is>
          <t>CAC, ₽</t>
        </is>
      </c>
      <c r="B14" s="93">
        <f>'Допущения'!$E$15</f>
        <v/>
      </c>
    </row>
    <row r="15" ht="29" customHeight="1">
      <c r="A15" s="58" t="inlineStr">
        <is>
          <t>LTV / CAC</t>
        </is>
      </c>
      <c r="B15" s="95">
        <f>B13/B14</f>
        <v/>
      </c>
    </row>
    <row r="16" ht="29" customHeight="1">
      <c r="A16" s="39" t="inlineStr">
        <is>
          <t>Окупаемость CAC при полной частоте, мес</t>
        </is>
      </c>
      <c r="B16" s="96">
        <f>B14/B11</f>
        <v/>
      </c>
    </row>
    <row r="17"/>
    <row r="18" ht="38" customHeight="1">
      <c r="A18" s="48" t="inlineStr">
        <is>
          <t>LTV предполагает неизменное месячное удержание и частоту заказов.</t>
        </is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>
      <c r="A40" t="inlineStr">
        <is>
          <t>Выбранный сценарий</t>
        </is>
      </c>
      <c r="B40" s="87">
        <f>CHOOSE('Допущения'!$B$2,"Пессимист","База","Оптимист")</f>
        <v/>
      </c>
    </row>
  </sheetData>
  <mergeCells count="1">
    <mergeCell ref="A18:B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pane xSplit="2" ySplit="2" topLeftCell="C3" activePane="bottomRight" state="frozen"/>
      <selection activeCell="A1" sqref="A1"/>
    </sheetView>
  </sheetViews>
  <sheetFormatPr baseColWidth="8" defaultRowHeight="15"/>
  <cols>
    <col width="5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22" t="inlineStr">
        <is>
          <t>Попутчик: 12 месяцев с начала разработки</t>
        </is>
      </c>
      <c r="B1" s="23" t="n"/>
      <c r="C1" s="23" t="n"/>
      <c r="D1" s="23" t="n"/>
      <c r="E1" s="23" t="n"/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</row>
    <row r="2" ht="28" customHeight="1">
      <c r="A2" s="56" t="inlineStr">
        <is>
          <t>Статья</t>
        </is>
      </c>
      <c r="B2" s="33" t="inlineStr">
        <is>
          <t>Итого</t>
        </is>
      </c>
      <c r="C2" s="33" t="inlineStr">
        <is>
          <t>М1</t>
        </is>
      </c>
      <c r="D2" s="33" t="inlineStr">
        <is>
          <t>М2</t>
        </is>
      </c>
      <c r="E2" s="33" t="inlineStr">
        <is>
          <t>М3</t>
        </is>
      </c>
      <c r="F2" s="33" t="inlineStr">
        <is>
          <t>М4</t>
        </is>
      </c>
      <c r="G2" s="33" t="inlineStr">
        <is>
          <t>М5</t>
        </is>
      </c>
      <c r="H2" s="33" t="inlineStr">
        <is>
          <t>М6</t>
        </is>
      </c>
      <c r="I2" s="33" t="inlineStr">
        <is>
          <t>М7</t>
        </is>
      </c>
      <c r="J2" s="33" t="inlineStr">
        <is>
          <t>М8</t>
        </is>
      </c>
      <c r="K2" s="33" t="inlineStr">
        <is>
          <t>М9</t>
        </is>
      </c>
      <c r="L2" s="33" t="inlineStr">
        <is>
          <t>М10</t>
        </is>
      </c>
      <c r="M2" s="33" t="inlineStr">
        <is>
          <t>М11</t>
        </is>
      </c>
      <c r="N2" s="33" t="inlineStr">
        <is>
          <t>М12</t>
        </is>
      </c>
    </row>
    <row r="3" ht="28" customHeight="1">
      <c r="A3" s="39" t="inlineStr">
        <is>
          <t>Привлечение: пилот / массовый маркетинг</t>
        </is>
      </c>
      <c r="B3" s="97">
        <f>SUM(C3:N3)</f>
        <v/>
      </c>
      <c r="C3" s="98">
        <f>C33</f>
        <v/>
      </c>
      <c r="D3" s="98">
        <f>D33</f>
        <v/>
      </c>
      <c r="E3" s="98">
        <f>E33*'Допущения'!$E$22</f>
        <v/>
      </c>
      <c r="F3" s="98">
        <f>F33*'Допущения'!$E$22</f>
        <v/>
      </c>
      <c r="G3" s="98">
        <f>G33*'Допущения'!$E$22</f>
        <v/>
      </c>
      <c r="H3" s="98">
        <f>H33*'Допущения'!$E$22</f>
        <v/>
      </c>
      <c r="I3" s="98">
        <f>I33*'Допущения'!$E$22</f>
        <v/>
      </c>
      <c r="J3" s="98">
        <f>J33*'Допущения'!$E$22</f>
        <v/>
      </c>
      <c r="K3" s="98">
        <f>K33*'Допущения'!$E$22</f>
        <v/>
      </c>
      <c r="L3" s="98">
        <f>L33*'Допущения'!$E$22</f>
        <v/>
      </c>
      <c r="M3" s="98">
        <f>M33*'Допущения'!$E$22</f>
        <v/>
      </c>
      <c r="N3" s="98">
        <f>N33*'Допущения'!$E$22</f>
        <v/>
      </c>
    </row>
    <row r="4" ht="28" customHeight="1">
      <c r="A4" s="39" t="inlineStr">
        <is>
          <t>Разработка</t>
        </is>
      </c>
      <c r="B4" s="97">
        <f>SUM(C4:N4)</f>
        <v/>
      </c>
      <c r="C4" s="98" t="n">
        <v>60000</v>
      </c>
      <c r="D4" s="98" t="n">
        <v>50000</v>
      </c>
      <c r="E4" s="98" t="n">
        <v>20000</v>
      </c>
      <c r="F4" s="98" t="n">
        <v>10000</v>
      </c>
      <c r="G4" s="98" t="n">
        <v>5000</v>
      </c>
      <c r="H4" s="98" t="n">
        <v>5000</v>
      </c>
      <c r="I4" s="98" t="n">
        <v>0</v>
      </c>
      <c r="J4" s="98" t="n">
        <v>0</v>
      </c>
      <c r="K4" s="98" t="n">
        <v>0</v>
      </c>
      <c r="L4" s="98" t="n">
        <v>0</v>
      </c>
      <c r="M4" s="98" t="n">
        <v>0</v>
      </c>
      <c r="N4" s="98" t="n">
        <v>0</v>
      </c>
    </row>
    <row r="5" ht="28" customHeight="1">
      <c r="A5" s="39" t="inlineStr">
        <is>
          <t>Поддержка курьеров сверх оплаты заказов</t>
        </is>
      </c>
      <c r="B5" s="97">
        <f>SUM(C5:N5)</f>
        <v/>
      </c>
      <c r="C5" s="98" t="n">
        <v>0</v>
      </c>
      <c r="D5" s="98" t="n">
        <v>30000</v>
      </c>
      <c r="E5" s="98" t="n">
        <v>30000</v>
      </c>
      <c r="F5" s="98" t="n">
        <v>0</v>
      </c>
      <c r="G5" s="98" t="n">
        <v>0</v>
      </c>
      <c r="H5" s="98" t="n">
        <v>0</v>
      </c>
      <c r="I5" s="98" t="n">
        <v>0</v>
      </c>
      <c r="J5" s="98" t="n">
        <v>0</v>
      </c>
      <c r="K5" s="98" t="n">
        <v>0</v>
      </c>
      <c r="L5" s="98" t="n">
        <v>0</v>
      </c>
      <c r="M5" s="98" t="n">
        <v>0</v>
      </c>
      <c r="N5" s="98" t="n">
        <v>0</v>
      </c>
    </row>
    <row r="6" ht="28" customHeight="1">
      <c r="A6" s="39" t="inlineStr">
        <is>
          <t>Сервер, API (фикс.)</t>
        </is>
      </c>
      <c r="B6" s="97">
        <f>SUM(C6:N6)</f>
        <v/>
      </c>
      <c r="C6" s="98" t="n">
        <v>5000</v>
      </c>
      <c r="D6" s="98" t="n">
        <v>5000</v>
      </c>
      <c r="E6" s="98" t="n">
        <v>5000</v>
      </c>
      <c r="F6" s="98" t="n">
        <v>5000</v>
      </c>
      <c r="G6" s="98" t="n">
        <v>5000</v>
      </c>
      <c r="H6" s="98" t="n">
        <v>5000</v>
      </c>
      <c r="I6" s="98" t="n">
        <v>5000</v>
      </c>
      <c r="J6" s="98" t="n">
        <v>5000</v>
      </c>
      <c r="K6" s="98" t="n">
        <v>5000</v>
      </c>
      <c r="L6" s="98" t="n">
        <v>5000</v>
      </c>
      <c r="M6" s="98" t="n">
        <v>5000</v>
      </c>
      <c r="N6" s="98" t="n">
        <v>5000</v>
      </c>
    </row>
    <row r="7" ht="28" customHeight="1">
      <c r="A7" s="39" t="inlineStr">
        <is>
          <t>Зарплата команды</t>
        </is>
      </c>
      <c r="B7" s="97">
        <f>SUM(C7:N7)</f>
        <v/>
      </c>
      <c r="C7" s="98" t="n">
        <v>0</v>
      </c>
      <c r="D7" s="98" t="n">
        <v>0</v>
      </c>
      <c r="E7" s="98" t="n">
        <v>0</v>
      </c>
      <c r="F7" s="98" t="n">
        <v>0</v>
      </c>
      <c r="G7" s="98" t="n">
        <v>0</v>
      </c>
      <c r="H7" s="98" t="n">
        <v>0</v>
      </c>
      <c r="I7" s="98" t="n">
        <v>0</v>
      </c>
      <c r="J7" s="98" t="n">
        <v>0</v>
      </c>
      <c r="K7" s="98" t="n">
        <v>0</v>
      </c>
      <c r="L7" s="98" t="n">
        <v>0</v>
      </c>
      <c r="M7" s="98" t="n">
        <v>0</v>
      </c>
      <c r="N7" s="98" t="n">
        <v>0</v>
      </c>
    </row>
    <row r="8" ht="28" customHeight="1">
      <c r="A8" s="39" t="inlineStr">
        <is>
          <t>Новые пользователи</t>
        </is>
      </c>
      <c r="B8" s="97">
        <f>SUM(C8:N8)</f>
        <v/>
      </c>
      <c r="C8" s="99">
        <f>C3/'Допущения'!$E$15</f>
        <v/>
      </c>
      <c r="D8" s="99">
        <f>D3/'Допущения'!$E$15+'Допущения'!$E$16*C9*D23</f>
        <v/>
      </c>
      <c r="E8" s="99">
        <f>E3/'Допущения'!$E$15+'Допущения'!$E$16*D9*E23</f>
        <v/>
      </c>
      <c r="F8" s="99">
        <f>F3/'Допущения'!$E$15+'Допущения'!$E$16*E9*F23</f>
        <v/>
      </c>
      <c r="G8" s="99">
        <f>G3/'Допущения'!$E$15+'Допущения'!$E$16*F9*G23</f>
        <v/>
      </c>
      <c r="H8" s="99">
        <f>H3/'Допущения'!$E$15+'Допущения'!$E$16*G9*H23</f>
        <v/>
      </c>
      <c r="I8" s="99">
        <f>I3/'Допущения'!$E$15+'Допущения'!$E$16*H9*I23</f>
        <v/>
      </c>
      <c r="J8" s="99">
        <f>J3/'Допущения'!$E$15+'Допущения'!$E$16*I9*J23</f>
        <v/>
      </c>
      <c r="K8" s="99">
        <f>K3/'Допущения'!$E$15+'Допущения'!$E$16*J9*K23</f>
        <v/>
      </c>
      <c r="L8" s="99">
        <f>L3/'Допущения'!$E$15+'Допущения'!$E$16*K9*L23</f>
        <v/>
      </c>
      <c r="M8" s="99">
        <f>M3/'Допущения'!$E$15+'Допущения'!$E$16*L9*M23</f>
        <v/>
      </c>
      <c r="N8" s="99">
        <f>N3/'Допущения'!$E$15+'Допущения'!$E$16*M9*N23</f>
        <v/>
      </c>
    </row>
    <row r="9" ht="28" customHeight="1">
      <c r="A9" s="39" t="inlineStr">
        <is>
          <t>Активные пользователи</t>
        </is>
      </c>
      <c r="B9" s="97">
        <f>N9</f>
        <v/>
      </c>
      <c r="C9" s="99">
        <f>0*'Допущения'!$E$14+C8</f>
        <v/>
      </c>
      <c r="D9" s="99">
        <f>C9*'Допущения'!$E$14+D8</f>
        <v/>
      </c>
      <c r="E9" s="99">
        <f>D9*'Допущения'!$E$14+E8</f>
        <v/>
      </c>
      <c r="F9" s="99">
        <f>E9*'Допущения'!$E$14+F8</f>
        <v/>
      </c>
      <c r="G9" s="99">
        <f>F9*'Допущения'!$E$14+G8</f>
        <v/>
      </c>
      <c r="H9" s="99">
        <f>G9*'Допущения'!$E$14+H8</f>
        <v/>
      </c>
      <c r="I9" s="99">
        <f>H9*'Допущения'!$E$14+I8</f>
        <v/>
      </c>
      <c r="J9" s="99">
        <f>I9*'Допущения'!$E$14+J8</f>
        <v/>
      </c>
      <c r="K9" s="99">
        <f>J9*'Допущения'!$E$14+K8</f>
        <v/>
      </c>
      <c r="L9" s="99">
        <f>K9*'Допущения'!$E$14+L8</f>
        <v/>
      </c>
      <c r="M9" s="99">
        <f>L9*'Допущения'!$E$14+M8</f>
        <v/>
      </c>
      <c r="N9" s="99">
        <f>M9*'Допущения'!$E$14+N8</f>
        <v/>
      </c>
    </row>
    <row r="10" ht="28" customHeight="1">
      <c r="A10" s="39" t="inlineStr">
        <is>
          <t>Заказы</t>
        </is>
      </c>
      <c r="B10" s="97">
        <f>SUM(C10:N10)</f>
        <v/>
      </c>
      <c r="C10" s="99">
        <f>C9*'Допущения'!$E$13*C23</f>
        <v/>
      </c>
      <c r="D10" s="99">
        <f>D9*'Допущения'!$E$13*D23</f>
        <v/>
      </c>
      <c r="E10" s="99">
        <f>E9*'Допущения'!$E$13*E23</f>
        <v/>
      </c>
      <c r="F10" s="99">
        <f>F9*'Допущения'!$E$13*F23</f>
        <v/>
      </c>
      <c r="G10" s="99">
        <f>G9*'Допущения'!$E$13*G23</f>
        <v/>
      </c>
      <c r="H10" s="99">
        <f>H9*'Допущения'!$E$13*H23</f>
        <v/>
      </c>
      <c r="I10" s="99">
        <f>I9*'Допущения'!$E$13*I23</f>
        <v/>
      </c>
      <c r="J10" s="99">
        <f>J9*'Допущения'!$E$13*J23</f>
        <v/>
      </c>
      <c r="K10" s="99">
        <f>K9*'Допущения'!$E$13*K23</f>
        <v/>
      </c>
      <c r="L10" s="99">
        <f>L9*'Допущения'!$E$13*L23</f>
        <v/>
      </c>
      <c r="M10" s="99">
        <f>M9*'Допущения'!$E$13*M23</f>
        <v/>
      </c>
      <c r="N10" s="99">
        <f>N9*'Допущения'!$E$13*N23</f>
        <v/>
      </c>
    </row>
    <row r="11" ht="28" customHeight="1">
      <c r="A11" s="39" t="inlineStr">
        <is>
          <t>Оборот товаров (GMV)</t>
        </is>
      </c>
      <c r="B11" s="97">
        <f>SUM(C11:N11)</f>
        <v/>
      </c>
      <c r="C11" s="100">
        <f>C10*'Допущения'!$E$6</f>
        <v/>
      </c>
      <c r="D11" s="100">
        <f>D10*'Допущения'!$E$6</f>
        <v/>
      </c>
      <c r="E11" s="100">
        <f>E10*'Допущения'!$E$6</f>
        <v/>
      </c>
      <c r="F11" s="100">
        <f>F10*'Допущения'!$E$6</f>
        <v/>
      </c>
      <c r="G11" s="100">
        <f>G10*'Допущения'!$E$6</f>
        <v/>
      </c>
      <c r="H11" s="100">
        <f>H10*'Допущения'!$E$6</f>
        <v/>
      </c>
      <c r="I11" s="100">
        <f>I10*'Допущения'!$E$6</f>
        <v/>
      </c>
      <c r="J11" s="100">
        <f>J10*'Допущения'!$E$6</f>
        <v/>
      </c>
      <c r="K11" s="100">
        <f>K10*'Допущения'!$E$6</f>
        <v/>
      </c>
      <c r="L11" s="100">
        <f>L10*'Допущения'!$E$6</f>
        <v/>
      </c>
      <c r="M11" s="100">
        <f>M10*'Допущения'!$E$6</f>
        <v/>
      </c>
      <c r="N11" s="100">
        <f>N10*'Допущения'!$E$6</f>
        <v/>
      </c>
    </row>
    <row r="12" ht="28" customHeight="1">
      <c r="A12" s="39" t="inlineStr">
        <is>
          <t>Выручка: доставка</t>
        </is>
      </c>
      <c r="B12" s="97">
        <f>SUM(C12:N12)</f>
        <v/>
      </c>
      <c r="C12" s="100">
        <f>C10*'Юнит-экономика'!$B$3</f>
        <v/>
      </c>
      <c r="D12" s="100">
        <f>D10*'Юнит-экономика'!$B$3</f>
        <v/>
      </c>
      <c r="E12" s="100">
        <f>E10*'Юнит-экономика'!$B$3</f>
        <v/>
      </c>
      <c r="F12" s="100">
        <f>F10*'Юнит-экономика'!$B$3</f>
        <v/>
      </c>
      <c r="G12" s="100">
        <f>G10*'Юнит-экономика'!$B$3</f>
        <v/>
      </c>
      <c r="H12" s="100">
        <f>H10*'Юнит-экономика'!$B$3</f>
        <v/>
      </c>
      <c r="I12" s="100">
        <f>I10*'Юнит-экономика'!$B$3</f>
        <v/>
      </c>
      <c r="J12" s="100">
        <f>J10*'Юнит-экономика'!$B$3</f>
        <v/>
      </c>
      <c r="K12" s="100">
        <f>K10*'Юнит-экономика'!$B$3</f>
        <v/>
      </c>
      <c r="L12" s="100">
        <f>L10*'Юнит-экономика'!$B$3</f>
        <v/>
      </c>
      <c r="M12" s="100">
        <f>M10*'Юнит-экономика'!$B$3</f>
        <v/>
      </c>
      <c r="N12" s="100">
        <f>N10*'Юнит-экономика'!$B$3</f>
        <v/>
      </c>
    </row>
    <row r="13" ht="28" customHeight="1">
      <c r="A13" s="39" t="inlineStr">
        <is>
          <t>Выручка: комиссия</t>
        </is>
      </c>
      <c r="B13" s="97">
        <f>SUM(C13:N13)</f>
        <v/>
      </c>
      <c r="C13" s="100">
        <f>C10*'Юнит-экономика'!$B$4</f>
        <v/>
      </c>
      <c r="D13" s="100">
        <f>D10*'Юнит-экономика'!$B$4</f>
        <v/>
      </c>
      <c r="E13" s="100">
        <f>E10*'Юнит-экономика'!$B$4</f>
        <v/>
      </c>
      <c r="F13" s="100">
        <f>F10*'Юнит-экономика'!$B$4</f>
        <v/>
      </c>
      <c r="G13" s="100">
        <f>G10*'Юнит-экономика'!$B$4</f>
        <v/>
      </c>
      <c r="H13" s="100">
        <f>H10*'Юнит-экономика'!$B$4</f>
        <v/>
      </c>
      <c r="I13" s="100">
        <f>I10*'Юнит-экономика'!$B$4</f>
        <v/>
      </c>
      <c r="J13" s="100">
        <f>J10*'Юнит-экономика'!$B$4</f>
        <v/>
      </c>
      <c r="K13" s="100">
        <f>K10*'Юнит-экономика'!$B$4</f>
        <v/>
      </c>
      <c r="L13" s="100">
        <f>L10*'Юнит-экономика'!$B$4</f>
        <v/>
      </c>
      <c r="M13" s="100">
        <f>M10*'Юнит-экономика'!$B$4</f>
        <v/>
      </c>
      <c r="N13" s="100">
        <f>N10*'Юнит-экономика'!$B$4</f>
        <v/>
      </c>
    </row>
    <row r="14" ht="28" customHeight="1">
      <c r="A14" s="57" t="inlineStr">
        <is>
          <t>Выручка итого</t>
        </is>
      </c>
      <c r="B14" s="101">
        <f>SUM(C14:N14)</f>
        <v/>
      </c>
      <c r="C14" s="102">
        <f>C12+C13</f>
        <v/>
      </c>
      <c r="D14" s="102">
        <f>D12+D13</f>
        <v/>
      </c>
      <c r="E14" s="102">
        <f>E12+E13</f>
        <v/>
      </c>
      <c r="F14" s="102">
        <f>F12+F13</f>
        <v/>
      </c>
      <c r="G14" s="102">
        <f>G12+G13</f>
        <v/>
      </c>
      <c r="H14" s="102">
        <f>H12+H13</f>
        <v/>
      </c>
      <c r="I14" s="102">
        <f>I12+I13</f>
        <v/>
      </c>
      <c r="J14" s="102">
        <f>J12+J13</f>
        <v/>
      </c>
      <c r="K14" s="102">
        <f>K12+K13</f>
        <v/>
      </c>
      <c r="L14" s="102">
        <f>L12+L13</f>
        <v/>
      </c>
      <c r="M14" s="102">
        <f>M12+M13</f>
        <v/>
      </c>
      <c r="N14" s="102">
        <f>N12+N13</f>
        <v/>
      </c>
    </row>
    <row r="15" ht="28" customHeight="1">
      <c r="A15" s="39" t="inlineStr">
        <is>
          <t>Курьеры</t>
        </is>
      </c>
      <c r="B15" s="97">
        <f>SUM(C15:N15)</f>
        <v/>
      </c>
      <c r="C15" s="100">
        <f>C10*'Допущения'!$E$11</f>
        <v/>
      </c>
      <c r="D15" s="100">
        <f>D10*'Допущения'!$E$11</f>
        <v/>
      </c>
      <c r="E15" s="100">
        <f>E10*'Допущения'!$E$11</f>
        <v/>
      </c>
      <c r="F15" s="100">
        <f>F10*'Допущения'!$E$11</f>
        <v/>
      </c>
      <c r="G15" s="100">
        <f>G10*'Допущения'!$E$11</f>
        <v/>
      </c>
      <c r="H15" s="100">
        <f>H10*'Допущения'!$E$11</f>
        <v/>
      </c>
      <c r="I15" s="100">
        <f>I10*'Допущения'!$E$11</f>
        <v/>
      </c>
      <c r="J15" s="100">
        <f>J10*'Допущения'!$E$11</f>
        <v/>
      </c>
      <c r="K15" s="100">
        <f>K10*'Допущения'!$E$11</f>
        <v/>
      </c>
      <c r="L15" s="100">
        <f>L10*'Допущения'!$E$11</f>
        <v/>
      </c>
      <c r="M15" s="100">
        <f>M10*'Допущения'!$E$11</f>
        <v/>
      </c>
      <c r="N15" s="100">
        <f>N10*'Допущения'!$E$11</f>
        <v/>
      </c>
    </row>
    <row r="16" ht="28" customHeight="1">
      <c r="A16" s="39" t="inlineStr">
        <is>
          <t>ИИ на заказ (переменная часть)</t>
        </is>
      </c>
      <c r="B16" s="97">
        <f>SUM(C16:N16)</f>
        <v/>
      </c>
      <c r="C16" s="100">
        <f>C10*'Допущения'!$E$12</f>
        <v/>
      </c>
      <c r="D16" s="100">
        <f>D10*'Допущения'!$E$12</f>
        <v/>
      </c>
      <c r="E16" s="100">
        <f>E10*'Допущения'!$E$12</f>
        <v/>
      </c>
      <c r="F16" s="100">
        <f>F10*'Допущения'!$E$12</f>
        <v/>
      </c>
      <c r="G16" s="100">
        <f>G10*'Допущения'!$E$12</f>
        <v/>
      </c>
      <c r="H16" s="100">
        <f>H10*'Допущения'!$E$12</f>
        <v/>
      </c>
      <c r="I16" s="100">
        <f>I10*'Допущения'!$E$12</f>
        <v/>
      </c>
      <c r="J16" s="100">
        <f>J10*'Допущения'!$E$12</f>
        <v/>
      </c>
      <c r="K16" s="100">
        <f>K10*'Допущения'!$E$12</f>
        <v/>
      </c>
      <c r="L16" s="100">
        <f>L10*'Допущения'!$E$12</f>
        <v/>
      </c>
      <c r="M16" s="100">
        <f>M10*'Допущения'!$E$12</f>
        <v/>
      </c>
      <c r="N16" s="100">
        <f>N10*'Допущения'!$E$12</f>
        <v/>
      </c>
    </row>
    <row r="17" ht="28" customHeight="1">
      <c r="A17" s="39" t="inlineStr">
        <is>
          <t>Эквайринг</t>
        </is>
      </c>
      <c r="B17" s="97">
        <f>SUM(C17:N17)</f>
        <v/>
      </c>
      <c r="C17" s="100">
        <f>C10*'Юнит-экономика'!$B$8</f>
        <v/>
      </c>
      <c r="D17" s="100">
        <f>D10*'Юнит-экономика'!$B$8</f>
        <v/>
      </c>
      <c r="E17" s="100">
        <f>E10*'Юнит-экономика'!$B$8</f>
        <v/>
      </c>
      <c r="F17" s="100">
        <f>F10*'Юнит-экономика'!$B$8</f>
        <v/>
      </c>
      <c r="G17" s="100">
        <f>G10*'Юнит-экономика'!$B$8</f>
        <v/>
      </c>
      <c r="H17" s="100">
        <f>H10*'Юнит-экономика'!$B$8</f>
        <v/>
      </c>
      <c r="I17" s="100">
        <f>I10*'Юнит-экономика'!$B$8</f>
        <v/>
      </c>
      <c r="J17" s="100">
        <f>J10*'Юнит-экономика'!$B$8</f>
        <v/>
      </c>
      <c r="K17" s="100">
        <f>K10*'Юнит-экономика'!$B$8</f>
        <v/>
      </c>
      <c r="L17" s="100">
        <f>L10*'Юнит-экономика'!$B$8</f>
        <v/>
      </c>
      <c r="M17" s="100">
        <f>M10*'Юнит-экономика'!$B$8</f>
        <v/>
      </c>
      <c r="N17" s="100">
        <f>N10*'Юнит-экономика'!$B$8</f>
        <v/>
      </c>
    </row>
    <row r="18" ht="28" customHeight="1">
      <c r="A18" s="57" t="inlineStr">
        <is>
          <t>Маржа после перем. расходов</t>
        </is>
      </c>
      <c r="B18" s="101">
        <f>SUM(C18:N18)</f>
        <v/>
      </c>
      <c r="C18" s="102">
        <f>C14-C15-C16-C17</f>
        <v/>
      </c>
      <c r="D18" s="102">
        <f>D14-D15-D16-D17</f>
        <v/>
      </c>
      <c r="E18" s="102">
        <f>E14-E15-E16-E17</f>
        <v/>
      </c>
      <c r="F18" s="102">
        <f>F14-F15-F16-F17</f>
        <v/>
      </c>
      <c r="G18" s="102">
        <f>G14-G15-G16-G17</f>
        <v/>
      </c>
      <c r="H18" s="102">
        <f>H14-H15-H16-H17</f>
        <v/>
      </c>
      <c r="I18" s="102">
        <f>I14-I15-I16-I17</f>
        <v/>
      </c>
      <c r="J18" s="102">
        <f>J14-J15-J16-J17</f>
        <v/>
      </c>
      <c r="K18" s="102">
        <f>K14-K15-K16-K17</f>
        <v/>
      </c>
      <c r="L18" s="102">
        <f>L14-L15-L16-L17</f>
        <v/>
      </c>
      <c r="M18" s="102">
        <f>M14-M15-M16-M17</f>
        <v/>
      </c>
      <c r="N18" s="102">
        <f>N14-N15-N16-N17</f>
        <v/>
      </c>
    </row>
    <row r="19" ht="28" customHeight="1">
      <c r="A19" s="39" t="inlineStr">
        <is>
          <t>Постоянные расходы и инвестиции</t>
        </is>
      </c>
      <c r="B19" s="97">
        <f>SUM(C19:N19)</f>
        <v/>
      </c>
      <c r="C19" s="100">
        <f>SUM(C3:C7)</f>
        <v/>
      </c>
      <c r="D19" s="100">
        <f>SUM(D3:D7)</f>
        <v/>
      </c>
      <c r="E19" s="100">
        <f>SUM(E3:E7)</f>
        <v/>
      </c>
      <c r="F19" s="100">
        <f>SUM(F3:F7)</f>
        <v/>
      </c>
      <c r="G19" s="100">
        <f>SUM(G3:G7)</f>
        <v/>
      </c>
      <c r="H19" s="100">
        <f>SUM(H3:H7)</f>
        <v/>
      </c>
      <c r="I19" s="100">
        <f>SUM(I3:I7)</f>
        <v/>
      </c>
      <c r="J19" s="100">
        <f>SUM(J3:J7)</f>
        <v/>
      </c>
      <c r="K19" s="100">
        <f>SUM(K3:K7)</f>
        <v/>
      </c>
      <c r="L19" s="100">
        <f>SUM(L3:L7)</f>
        <v/>
      </c>
      <c r="M19" s="100">
        <f>SUM(M3:M7)</f>
        <v/>
      </c>
      <c r="N19" s="100">
        <f>SUM(N3:N7)</f>
        <v/>
      </c>
    </row>
    <row r="20" ht="28" customHeight="1">
      <c r="A20" s="57" t="inlineStr">
        <is>
          <t>Результат до налогов и возвратов</t>
        </is>
      </c>
      <c r="B20" s="101">
        <f>SUM(C20:N20)</f>
        <v/>
      </c>
      <c r="C20" s="102">
        <f>C18-C19</f>
        <v/>
      </c>
      <c r="D20" s="102">
        <f>D18-D19</f>
        <v/>
      </c>
      <c r="E20" s="102">
        <f>E18-E19</f>
        <v/>
      </c>
      <c r="F20" s="102">
        <f>F18-F19</f>
        <v/>
      </c>
      <c r="G20" s="102">
        <f>G18-G19</f>
        <v/>
      </c>
      <c r="H20" s="102">
        <f>H18-H19</f>
        <v/>
      </c>
      <c r="I20" s="102">
        <f>I18-I19</f>
        <v/>
      </c>
      <c r="J20" s="102">
        <f>J18-J19</f>
        <v/>
      </c>
      <c r="K20" s="102">
        <f>K18-K19</f>
        <v/>
      </c>
      <c r="L20" s="102">
        <f>L18-L19</f>
        <v/>
      </c>
      <c r="M20" s="102">
        <f>M18-M19</f>
        <v/>
      </c>
      <c r="N20" s="102">
        <f>N18-N19</f>
        <v/>
      </c>
    </row>
    <row r="21" ht="28" customHeight="1">
      <c r="A21" s="57" t="inlineStr">
        <is>
          <t>Деньги на конец месяца</t>
        </is>
      </c>
      <c r="B21" s="101">
        <f>N21</f>
        <v/>
      </c>
      <c r="C21" s="102">
        <f>'Допущения'!$E$18+C20</f>
        <v/>
      </c>
      <c r="D21" s="102">
        <f>C21+D20</f>
        <v/>
      </c>
      <c r="E21" s="102">
        <f>D21+E20</f>
        <v/>
      </c>
      <c r="F21" s="102">
        <f>E21+F20</f>
        <v/>
      </c>
      <c r="G21" s="102">
        <f>F21+G20</f>
        <v/>
      </c>
      <c r="H21" s="102">
        <f>G21+H20</f>
        <v/>
      </c>
      <c r="I21" s="102">
        <f>H21+I20</f>
        <v/>
      </c>
      <c r="J21" s="102">
        <f>I21+J20</f>
        <v/>
      </c>
      <c r="K21" s="102">
        <f>J21+K20</f>
        <v/>
      </c>
      <c r="L21" s="102">
        <f>K21+L20</f>
        <v/>
      </c>
      <c r="M21" s="102">
        <f>L21+M20</f>
        <v/>
      </c>
      <c r="N21" s="102">
        <f>M21+N20</f>
        <v/>
      </c>
    </row>
    <row r="22" ht="28" customHeight="1">
      <c r="A22" s="39" t="inlineStr">
        <is>
          <t>Нужно курьеров</t>
        </is>
      </c>
      <c r="B22" s="34">
        <f>N22</f>
        <v/>
      </c>
      <c r="C22" s="103">
        <f>IF(C23=0,0,MAX(2,ROUNDUP(C10/'Допущения'!$E$17,0)))</f>
        <v/>
      </c>
      <c r="D22" s="103">
        <f>IF(D23=0,0,MAX(2,ROUNDUP(D10/'Допущения'!$E$17,0)))</f>
        <v/>
      </c>
      <c r="E22" s="103">
        <f>IF(E23=0,0,MAX(2,ROUNDUP(E10/'Допущения'!$E$17,0)))</f>
        <v/>
      </c>
      <c r="F22" s="103">
        <f>IF(F23=0,0,MAX(2,ROUNDUP(F10/'Допущения'!$E$17,0)))</f>
        <v/>
      </c>
      <c r="G22" s="103">
        <f>IF(G23=0,0,MAX(2,ROUNDUP(G10/'Допущения'!$E$17,0)))</f>
        <v/>
      </c>
      <c r="H22" s="103">
        <f>IF(H23=0,0,MAX(2,ROUNDUP(H10/'Допущения'!$E$17,0)))</f>
        <v/>
      </c>
      <c r="I22" s="103">
        <f>IF(I23=0,0,MAX(2,ROUNDUP(I10/'Допущения'!$E$17,0)))</f>
        <v/>
      </c>
      <c r="J22" s="103">
        <f>IF(J23=0,0,MAX(2,ROUNDUP(J10/'Допущения'!$E$17,0)))</f>
        <v/>
      </c>
      <c r="K22" s="103">
        <f>IF(K23=0,0,MAX(2,ROUNDUP(K10/'Допущения'!$E$17,0)))</f>
        <v/>
      </c>
      <c r="L22" s="103">
        <f>IF(L23=0,0,MAX(2,ROUNDUP(L10/'Допущения'!$E$17,0)))</f>
        <v/>
      </c>
      <c r="M22" s="103">
        <f>IF(M23=0,0,MAX(2,ROUNDUP(M10/'Допущения'!$E$17,0)))</f>
        <v/>
      </c>
      <c r="N22" s="103">
        <f>IF(N23=0,0,MAX(2,ROUNDUP(N10/'Допущения'!$E$17,0)))</f>
        <v/>
      </c>
    </row>
    <row r="23" ht="28" customHeight="1">
      <c r="A23" s="39" t="inlineStr">
        <is>
          <t>Доля месяца с продажами</t>
        </is>
      </c>
      <c r="B23" s="23" t="n"/>
      <c r="C23" s="104" t="n">
        <v>0</v>
      </c>
      <c r="D23" s="104" t="n">
        <v>0.5</v>
      </c>
      <c r="E23" s="104" t="n">
        <v>1</v>
      </c>
      <c r="F23" s="104" t="n">
        <v>1</v>
      </c>
      <c r="G23" s="104" t="n">
        <v>1</v>
      </c>
      <c r="H23" s="104" t="n">
        <v>1</v>
      </c>
      <c r="I23" s="104" t="n">
        <v>1</v>
      </c>
      <c r="J23" s="104" t="n">
        <v>1</v>
      </c>
      <c r="K23" s="104" t="n">
        <v>1</v>
      </c>
      <c r="L23" s="104" t="n">
        <v>1</v>
      </c>
      <c r="M23" s="104" t="n">
        <v>1</v>
      </c>
      <c r="N23" s="104" t="n">
        <v>1</v>
      </c>
    </row>
    <row r="24" ht="28" customHeight="1">
      <c r="A24" s="58" t="inlineStr">
        <is>
          <t>Итоги</t>
        </is>
      </c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</row>
    <row r="25" ht="28" customHeight="1">
      <c r="A25" s="39" t="inlineStr">
        <is>
          <t>Расходы из бюджета за М1–М6</t>
        </is>
      </c>
      <c r="B25" s="97">
        <f>SUM(C19:H19)</f>
        <v/>
      </c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</row>
    <row r="26" ht="28" customHeight="1">
      <c r="A26" s="39" t="inlineStr">
        <is>
          <t>Минимум денег на счёте за 12 мес</t>
        </is>
      </c>
      <c r="B26" s="97">
        <f>MIN(C21:N21)</f>
        <v/>
      </c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</row>
    <row r="27" ht="28" customHeight="1">
      <c r="A27" s="39" t="inlineStr">
        <is>
          <t>Деньги на конец М6</t>
        </is>
      </c>
      <c r="B27" s="97">
        <f>H21</f>
        <v/>
      </c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</row>
    <row r="28" ht="28" customHeight="1">
      <c r="A28" s="39" t="inlineStr">
        <is>
          <t>Первый месяц с положительным результатом</t>
        </is>
      </c>
      <c r="B28" s="105">
        <f>IF(SUM(C34:N34)=0,"нет за 12 мес",MATCH(1,C34:N34,0))</f>
        <v/>
      </c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</row>
    <row r="29" ht="28" customHeight="1">
      <c r="A29" s="39" t="inlineStr">
        <is>
          <t>Накопленный результат ≥0: месяц</t>
        </is>
      </c>
      <c r="B29" s="105">
        <f>IF(SUM(C35:N35)=0,"нет за 12 мес",MATCH(1,C35:N35,0))</f>
        <v/>
      </c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</row>
    <row r="30" ht="28" customHeight="1">
      <c r="A30" s="39" t="inlineStr">
        <is>
          <t>Активных пользователей к М6</t>
        </is>
      </c>
      <c r="B30" s="97">
        <f>H9</f>
        <v/>
      </c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</row>
    <row r="31" ht="28" customHeight="1">
      <c r="A31" s="39" t="inlineStr">
        <is>
          <t>Выручка за 12 мес</t>
        </is>
      </c>
      <c r="B31" s="97">
        <f>B14</f>
        <v/>
      </c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</row>
    <row r="32" ht="28" customHeight="1">
      <c r="A32" s="48" t="inlineStr">
        <is>
          <t>План привлечения ниже; массовые траты зависят от пилота.</t>
        </is>
      </c>
    </row>
    <row r="33" ht="28" customHeight="1">
      <c r="A33" s="48" t="inlineStr">
        <is>
          <t>План привлечения до проверки пилота</t>
        </is>
      </c>
      <c r="C33" s="70" t="n">
        <v>0</v>
      </c>
      <c r="D33" s="70" t="n">
        <v>10000</v>
      </c>
      <c r="E33" s="70" t="n">
        <v>35000</v>
      </c>
      <c r="F33" s="70" t="n">
        <v>45000</v>
      </c>
      <c r="G33" s="70" t="n">
        <v>55000</v>
      </c>
      <c r="H33" s="70" t="n">
        <v>55000</v>
      </c>
      <c r="I33" s="70" t="n">
        <v>40000</v>
      </c>
      <c r="J33" s="70" t="n">
        <v>40000</v>
      </c>
      <c r="K33" s="70" t="n">
        <v>40000</v>
      </c>
      <c r="L33" s="70" t="n">
        <v>40000</v>
      </c>
      <c r="M33" s="70" t="n">
        <v>40000</v>
      </c>
      <c r="N33" s="70" t="n">
        <v>40000</v>
      </c>
    </row>
    <row r="34" ht="28" customHeight="1">
      <c r="A34" s="71" t="inlineStr">
        <is>
          <t>Месяц с положительным результатом: 1 / 0</t>
        </is>
      </c>
      <c r="B34" s="72" t="n"/>
      <c r="C34" s="72">
        <f>IF(C20&gt;0,1,0)</f>
        <v/>
      </c>
      <c r="D34" s="72">
        <f>IF(D20&gt;0,1,0)</f>
        <v/>
      </c>
      <c r="E34" s="72">
        <f>IF(E20&gt;0,1,0)</f>
        <v/>
      </c>
      <c r="F34" s="72">
        <f>IF(F20&gt;0,1,0)</f>
        <v/>
      </c>
      <c r="G34" s="72">
        <f>IF(G20&gt;0,1,0)</f>
        <v/>
      </c>
      <c r="H34" s="72">
        <f>IF(H20&gt;0,1,0)</f>
        <v/>
      </c>
      <c r="I34" s="72">
        <f>IF(I20&gt;0,1,0)</f>
        <v/>
      </c>
      <c r="J34" s="72">
        <f>IF(J20&gt;0,1,0)</f>
        <v/>
      </c>
      <c r="K34" s="72">
        <f>IF(K20&gt;0,1,0)</f>
        <v/>
      </c>
      <c r="L34" s="72">
        <f>IF(L20&gt;0,1,0)</f>
        <v/>
      </c>
      <c r="M34" s="72">
        <f>IF(M20&gt;0,1,0)</f>
        <v/>
      </c>
      <c r="N34" s="72">
        <f>IF(N20&gt;0,1,0)</f>
        <v/>
      </c>
    </row>
    <row r="35" ht="28" customHeight="1">
      <c r="A35" s="71" t="inlineStr">
        <is>
          <t>Деньги ≥ стартового бюджета: 1 / 0</t>
        </is>
      </c>
      <c r="B35" s="72" t="n"/>
      <c r="C35" s="72">
        <f>IF(C21&gt;='Допущения'!$E$18,1,0)</f>
        <v/>
      </c>
      <c r="D35" s="72">
        <f>IF(D21&gt;='Допущения'!$E$18,1,0)</f>
        <v/>
      </c>
      <c r="E35" s="72">
        <f>IF(E21&gt;='Допущения'!$E$18,1,0)</f>
        <v/>
      </c>
      <c r="F35" s="72">
        <f>IF(F21&gt;='Допущения'!$E$18,1,0)</f>
        <v/>
      </c>
      <c r="G35" s="72">
        <f>IF(G21&gt;='Допущения'!$E$18,1,0)</f>
        <v/>
      </c>
      <c r="H35" s="72">
        <f>IF(H21&gt;='Допущения'!$E$18,1,0)</f>
        <v/>
      </c>
      <c r="I35" s="72">
        <f>IF(I21&gt;='Допущения'!$E$18,1,0)</f>
        <v/>
      </c>
      <c r="J35" s="72">
        <f>IF(J21&gt;='Допущения'!$E$18,1,0)</f>
        <v/>
      </c>
      <c r="K35" s="72">
        <f>IF(K21&gt;='Допущения'!$E$18,1,0)</f>
        <v/>
      </c>
      <c r="L35" s="72">
        <f>IF(L21&gt;='Допущения'!$E$18,1,0)</f>
        <v/>
      </c>
      <c r="M35" s="72">
        <f>IF(M21&gt;='Допущения'!$E$18,1,0)</f>
        <v/>
      </c>
      <c r="N35" s="72">
        <f>IF(N21&gt;='Допущения'!$E$18,1,0)</f>
        <v/>
      </c>
    </row>
    <row r="36" ht="28" customHeight="1">
      <c r="A36" s="48" t="inlineStr">
        <is>
          <t>Выручка за М1–М6</t>
        </is>
      </c>
      <c r="B36" s="106">
        <f>SUM(C14:H14)</f>
        <v/>
      </c>
    </row>
    <row r="37" ht="28" customHeight="1">
      <c r="A37" s="48" t="inlineStr">
        <is>
          <t>Маржа за М1–М6</t>
        </is>
      </c>
      <c r="B37" s="106">
        <f>SUM(C18:H18)</f>
        <v/>
      </c>
    </row>
    <row r="38" ht="28" customHeight="1">
      <c r="A38" s="48" t="inlineStr">
        <is>
          <t>Результат за М1–М6 до налогов и возвратов</t>
        </is>
      </c>
      <c r="B38" s="106">
        <f>SUM(C20:H20)</f>
        <v/>
      </c>
    </row>
    <row r="39"/>
    <row r="40">
      <c r="A40" t="inlineStr">
        <is>
          <t>Выбранный сценарий</t>
        </is>
      </c>
      <c r="B40" s="87">
        <f>CHOOSE('Допущения'!$B$2,"Пессимист","База","Оптимист")</f>
        <v/>
      </c>
    </row>
  </sheetData>
  <mergeCells count="1">
    <mergeCell ref="A32:N3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9" customWidth="1" min="2" max="2"/>
    <col width="76" customWidth="1" min="3" max="3"/>
  </cols>
  <sheetData>
    <row r="1">
      <c r="A1" s="22" t="inlineStr">
        <is>
          <t>Попутчик: бюджет на первые шесть месяцев</t>
        </is>
      </c>
      <c r="B1" s="23" t="n"/>
      <c r="C1" s="23" t="n"/>
    </row>
    <row r="2" ht="42" customHeight="1">
      <c r="A2" s="56" t="inlineStr">
        <is>
          <t>Статья</t>
        </is>
      </c>
      <c r="B2" s="56" t="inlineStr">
        <is>
          <t>Сумма, ₽</t>
        </is>
      </c>
      <c r="C2" s="56" t="inlineStr">
        <is>
          <t>Комментарий</t>
        </is>
      </c>
    </row>
    <row r="3" ht="42" customHeight="1">
      <c r="A3" s="39" t="inlineStr">
        <is>
          <t>Разработка MVP</t>
        </is>
      </c>
      <c r="B3" s="88">
        <f>SUM('Фин модель (12 мес)'!C4:H4)</f>
        <v/>
      </c>
      <c r="C3" s="39" t="inlineStr">
        <is>
          <t>боты клиента, магазина, курьера; ИИ-разбор; подключение прайсов</t>
        </is>
      </c>
    </row>
    <row r="4" ht="42" customHeight="1">
      <c r="A4" s="39" t="inlineStr">
        <is>
          <t>Маркетинг</t>
        </is>
      </c>
      <c r="B4" s="88">
        <f>SUM('Фин модель (12 мес)'!C3:H3)</f>
        <v/>
      </c>
      <c r="C4" s="39" t="inlineStr">
        <is>
          <t>10 тыс. ₽ на пилот; массовое привлечение после проверки. Промо учтены в доле бесплатных доставок.</t>
        </is>
      </c>
    </row>
    <row r="5" ht="42" customHeight="1">
      <c r="A5" s="39" t="inlineStr">
        <is>
          <t>Поддержка курьеров на пилоте</t>
        </is>
      </c>
      <c r="B5" s="88">
        <f>SUM('Фин модель (12 мес)'!C5:H5)</f>
        <v/>
      </c>
      <c r="C5" s="39" t="inlineStr">
        <is>
          <t>До 60 тыс. ₽ сверх оплаты доставленных заказов.</t>
        </is>
      </c>
    </row>
    <row r="6" ht="42" customHeight="1">
      <c r="A6" s="39" t="inlineStr">
        <is>
          <t>Сервер, API (фикс.)</t>
        </is>
      </c>
      <c r="B6" s="88">
        <f>SUM('Фин модель (12 мес)'!C6:H6)</f>
        <v/>
      </c>
      <c r="C6" s="39" t="inlineStr">
        <is>
          <t>Фиксированный сервер; переменные вызовы ИИ отдельно.</t>
        </is>
      </c>
    </row>
    <row r="7" ht="42" customHeight="1">
      <c r="A7" s="58" t="inlineStr">
        <is>
          <t>Итого из бюджета</t>
        </is>
      </c>
      <c r="B7" s="107">
        <f>SUM(B3:B6)</f>
        <v/>
      </c>
      <c r="C7" s="39" t="inlineStr"/>
    </row>
    <row r="8" ht="42" customHeight="1">
      <c r="A8" s="39" t="inlineStr">
        <is>
          <t>Неиспользованный бюджет / резерв</t>
        </is>
      </c>
      <c r="B8" s="88">
        <f>'Допущения'!$E$18-B7</f>
        <v/>
      </c>
      <c r="C8" s="39" t="inlineStr">
        <is>
          <t>В базе 60 тыс. ₽. При остановке маркетинга остаток увеличивается.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>
      <c r="A40" t="inlineStr">
        <is>
          <t>Выбранный сценарий</t>
        </is>
      </c>
      <c r="B40" s="87">
        <f>CHOOSE('Допущения'!$B$2,"Пессимист","База","Оптимист")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2026-10-11T12:13:24Z</dcterms:created>
  <dcterms:modified xmlns:dcterms="http://purl.org/dc/terms/" xmlns:xsi="http://www.w3.org/2001/XMLSchema-instance" xsi:type="dcterms:W3CDTF">2026-10-11T12:13:24Z</dcterms:modified>
</cp:coreProperties>
</file>